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545" windowHeight="12375" firstSheet="1"/>
  </bookViews>
  <sheets>
    <sheet name="线路计算" sheetId="10" r:id="rId1"/>
    <sheet name="线路计算(旧)" sheetId="1" state="hidden" r:id="rId2"/>
    <sheet name="功率分布(000)" sheetId="11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<sst xmlns="http://schemas.openxmlformats.org/spreadsheetml/2006/main" count="267" uniqueCount="133">
  <si>
    <t>材料</t>
  </si>
  <si>
    <t>发热区</t>
  </si>
  <si>
    <t>发热区长(mm)</t>
  </si>
  <si>
    <t>偏移距离</t>
  </si>
  <si>
    <t>发热区宽(mm)</t>
  </si>
  <si>
    <t>中心线到边距离</t>
  </si>
  <si>
    <t>电阻R(Ω)</t>
  </si>
  <si>
    <t>发热区净长(mm)</t>
  </si>
  <si>
    <t>电阻率ρ(Ω·m)</t>
  </si>
  <si>
    <t>320</t>
  </si>
  <si>
    <t>发热区净宽(mm)</t>
  </si>
  <si>
    <t>厚度d(mm)</t>
  </si>
  <si>
    <t>发热丝组数(组)</t>
  </si>
  <si>
    <t>比值L/W(mm)</t>
  </si>
  <si>
    <t>初设线宽(mm)</t>
  </si>
  <si>
    <t>损耗</t>
  </si>
  <si>
    <t>线长(mm)</t>
  </si>
  <si>
    <t>横向</t>
  </si>
  <si>
    <t>组数</t>
  </si>
  <si>
    <t>竖向</t>
  </si>
  <si>
    <t>可布线数(根)</t>
  </si>
  <si>
    <t>可布线数</t>
  </si>
  <si>
    <t>中心线间距(mm)</t>
  </si>
  <si>
    <t>发热丝间距(mm)</t>
  </si>
  <si>
    <t>发热丝面积</t>
  </si>
  <si>
    <t>实际面积</t>
  </si>
  <si>
    <t>移除占比</t>
  </si>
  <si>
    <t>假设线宽</t>
  </si>
  <si>
    <t>设变线宽</t>
  </si>
  <si>
    <t>设变间距</t>
  </si>
  <si>
    <t>线宽间距比值</t>
  </si>
  <si>
    <t>电阻(±4%)</t>
  </si>
  <si>
    <t>电阻(±5%)</t>
  </si>
  <si>
    <t>最后更新</t>
  </si>
  <si>
    <t>filmInfo</t>
  </si>
  <si>
    <t>CXT-3811</t>
  </si>
  <si>
    <t>硅胶加热膜</t>
  </si>
  <si>
    <t>样品</t>
  </si>
  <si>
    <t>阮焕</t>
  </si>
  <si>
    <t>已知量</t>
  </si>
  <si>
    <t>定义量</t>
  </si>
  <si>
    <t>发热区长</t>
  </si>
  <si>
    <t>电阻</t>
  </si>
  <si>
    <t>R</t>
  </si>
  <si>
    <t>Ω</t>
  </si>
  <si>
    <t>mm</t>
  </si>
  <si>
    <t>电阻率</t>
  </si>
  <si>
    <t>Ω·m</t>
  </si>
  <si>
    <t>发热区宽</t>
  </si>
  <si>
    <t>厚度</t>
  </si>
  <si>
    <t>d</t>
  </si>
  <si>
    <t>发热丝组数</t>
  </si>
  <si>
    <t>组</t>
  </si>
  <si>
    <t>H4的表格数据要保持在5.0~5.5</t>
  </si>
  <si>
    <t>比值</t>
  </si>
  <si>
    <t>L/W</t>
  </si>
  <si>
    <t>线宽/2</t>
  </si>
  <si>
    <t>线长</t>
  </si>
  <si>
    <t>结果</t>
  </si>
  <si>
    <t>整数</t>
  </si>
  <si>
    <t>根</t>
  </si>
  <si>
    <t>中心线间距</t>
  </si>
  <si>
    <t>电阻到小数点后两位</t>
  </si>
  <si>
    <t>发热丝间距</t>
  </si>
  <si>
    <t>发热丝间距大于1.5</t>
  </si>
  <si>
    <t>1/2中心线间距</t>
  </si>
  <si>
    <t>发热丝宽度5以上和发热丝4组以上 考虑换电阻率材质</t>
  </si>
  <si>
    <t>排除后面积</t>
  </si>
  <si>
    <t>实际线长</t>
  </si>
  <si>
    <t>实际线宽</t>
  </si>
  <si>
    <t>实际线宽
的一半</t>
  </si>
  <si>
    <t>电阻公差值</t>
  </si>
  <si>
    <t>需排除面积</t>
  </si>
  <si>
    <t>功率密度</t>
  </si>
  <si>
    <t>功率：长*宽*功率密度/100→MM²换算CM²</t>
  </si>
  <si>
    <t>功率</t>
  </si>
  <si>
    <t>总功率</t>
  </si>
  <si>
    <t>电压</t>
  </si>
  <si>
    <t>总电流</t>
  </si>
  <si>
    <t>总电阻</t>
  </si>
  <si>
    <t>总电阻(±4%)</t>
  </si>
  <si>
    <t>总电阻(±5%)</t>
  </si>
  <si>
    <t>发热膜</t>
  </si>
  <si>
    <t>外圈</t>
  </si>
  <si>
    <t>内圈</t>
  </si>
  <si>
    <t>电流</t>
  </si>
  <si>
    <t>外圈5 功率密度关系表</t>
  </si>
  <si>
    <t>导体电阻</t>
  </si>
  <si>
    <t>单根电流</t>
  </si>
  <si>
    <t>总线长(mm)</t>
  </si>
  <si>
    <t>平均线宽(mm)</t>
  </si>
  <si>
    <t>总表面积(mm²)</t>
  </si>
  <si>
    <t>左角(红色)</t>
  </si>
  <si>
    <t>右角(红色)</t>
  </si>
  <si>
    <t>外层(紫色)V</t>
  </si>
  <si>
    <t>外层(紫色)H</t>
  </si>
  <si>
    <t>最内层(黄色)</t>
  </si>
  <si>
    <t>区域线长(mm)</t>
  </si>
  <si>
    <t>33635.6397435058</t>
  </si>
  <si>
    <t>16832.2359799457</t>
  </si>
  <si>
    <t>线宽(mm)</t>
  </si>
  <si>
    <t>=B20/1000/$E$15*$C$15/$G$15/C22</t>
  </si>
  <si>
    <t>=D20/1000/$E$15*$C$15/$G$15/E22</t>
  </si>
  <si>
    <t>=F20/1000/$E$15*$C$15/$G$15/G22</t>
  </si>
  <si>
    <t>=H20/1000/$E$15*$C$15/$G$15/I22</t>
  </si>
  <si>
    <r>
      <rPr>
        <sz val="11"/>
        <color theme="1"/>
        <rFont val="宋体"/>
        <charset val="134"/>
        <scheme val="minor"/>
      </rPr>
      <t>单根导体电阻(</t>
    </r>
    <r>
      <rPr>
        <sz val="11"/>
        <color rgb="FF000000"/>
        <rFont val="Times New Roman"/>
        <charset val="134"/>
      </rPr>
      <t>Ω</t>
    </r>
    <r>
      <rPr>
        <sz val="11"/>
        <color theme="1"/>
        <rFont val="宋体"/>
        <charset val="134"/>
        <scheme val="minor"/>
      </rPr>
      <t>)</t>
    </r>
  </si>
  <si>
    <t>功率(W)</t>
  </si>
  <si>
    <t>表面积(mm²)</t>
  </si>
  <si>
    <t>114522.2694454353</t>
  </si>
  <si>
    <t>136832.862903225</t>
  </si>
  <si>
    <t>功率密度(W/cm²)</t>
  </si>
  <si>
    <t>密度差(W/cm²)</t>
  </si>
  <si>
    <t>外圈4 功率密度关系表</t>
  </si>
  <si>
    <t>加密四个角(红色)</t>
  </si>
  <si>
    <t>13284.3619966001</t>
  </si>
  <si>
    <t>red</t>
  </si>
  <si>
    <t>Yellow</t>
  </si>
  <si>
    <t>外圈3 功率密度关系表</t>
  </si>
  <si>
    <t>外层(紫色)</t>
  </si>
  <si>
    <t>=B66/1000/$E$61*$C$61/$G$61/C68</t>
  </si>
  <si>
    <t>=D66/1000/$E$61*$C$61/$G$61/E68</t>
  </si>
  <si>
    <t>=F66/1000/$E$61*$C$61/$G$61/G68</t>
  </si>
  <si>
    <t>内圈2 功率密度关系表</t>
  </si>
  <si>
    <t>471351.9957982904</t>
  </si>
  <si>
    <t>34596.5369892433</t>
  </si>
  <si>
    <t>=B83/1000/$E$78*$C$78/$G$78/C85</t>
  </si>
  <si>
    <t>=D83/1000/$E$78*$C$78/$G$78/E85</t>
  </si>
  <si>
    <t>240951.9957982991</t>
  </si>
  <si>
    <t>230399.9999999913</t>
  </si>
  <si>
    <t>8140.9646049577</t>
  </si>
  <si>
    <t>7908.5913243176</t>
  </si>
  <si>
    <t>8131.5179128183</t>
  </si>
  <si>
    <t>7979.8412928396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</si>
</sst>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@\(&quot;补偿&quot;\)"/>
    <numFmt numFmtId="177" formatCode="@\(&quot;验&quot;&quot;证&quot;\)"/>
    <numFmt numFmtId="178" formatCode="0.000000000_ "/>
    <numFmt numFmtId="179" formatCode="0.00_ "/>
    <numFmt numFmtId="180" formatCode="0_ "/>
    <numFmt numFmtId="181" formatCode="0.00000_ "/>
    <numFmt numFmtId="182" formatCode="0.0000_ "/>
    <numFmt numFmtId="183" formatCode="&quot;电&quot;&quot;压&quot;@"/>
    <numFmt numFmtId="184" formatCode="&quot;功&quot;&quot;率&quot;@"/>
    <numFmt numFmtId="185" formatCode="&quot;电&quot;&quot;流&quot;@"/>
    <numFmt numFmtId="186" formatCode="&quot;功&quot;&quot;率&quot;&quot;密&quot;&quot;度&quot;@"/>
    <numFmt numFmtId="187" formatCode="&quot;最&quot;&quot;窄&quot;&quot;压&quot;&quot;包&quot;@"/>
    <numFmt numFmtId="188" formatCode="0.000000"/>
  </numFmts>
  <fonts count="36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1"/>
      <color rgb="FFE22828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0" tint="-0.349986266670736"/>
      <name val="宋体"/>
      <charset val="134"/>
    </font>
    <font>
      <sz val="11"/>
      <color theme="0" tint="-0.499984740745262"/>
      <name val="宋体"/>
      <charset val="134"/>
      <scheme val="minor"/>
    </font>
    <font>
      <sz val="11"/>
      <name val="宋体"/>
      <charset val="134"/>
    </font>
    <font>
      <sz val="11"/>
      <color rgb="FF00B050"/>
      <name val="宋体"/>
      <charset val="134"/>
      <scheme val="minor"/>
    </font>
    <font>
      <b/>
      <sz val="12"/>
      <color indexed="8"/>
      <name val="宋体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0"/>
      <name val="宋体"/>
      <charset val="134"/>
    </font>
    <font>
      <sz val="11"/>
      <color rgb="FF00B050"/>
      <name val="宋体"/>
      <charset val="134"/>
    </font>
    <font>
      <sz val="11"/>
      <color rgb="FF000000"/>
      <name val="宋体"/>
      <charset val="134"/>
    </font>
    <font>
      <sz val="10"/>
      <color rgb="FFABB2BF"/>
      <name val="Cascadia Code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62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rgb="FF000000"/>
      <name val="Times New Roman"/>
      <charset val="134"/>
    </font>
  </fonts>
  <fills count="3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0FFD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0" fillId="0" borderId="0" applyProtection="0">
      <alignment vertical="center"/>
    </xf>
    <xf numFmtId="44" fontId="0" fillId="0" borderId="0" applyProtection="0">
      <alignment vertical="center"/>
    </xf>
    <xf numFmtId="9" fontId="0" fillId="0" borderId="0" applyProtection="0">
      <alignment vertical="center"/>
    </xf>
    <xf numFmtId="41" fontId="0" fillId="0" borderId="0" applyProtection="0">
      <alignment vertical="center"/>
    </xf>
    <xf numFmtId="42" fontId="0" fillId="0" borderId="0" applyProtection="0">
      <alignment vertical="center"/>
    </xf>
    <xf numFmtId="0" fontId="17" fillId="0" borderId="0" applyProtection="0">
      <alignment vertical="center"/>
    </xf>
    <xf numFmtId="0" fontId="18" fillId="0" borderId="0" applyProtection="0">
      <alignment vertical="center"/>
    </xf>
    <xf numFmtId="0" fontId="0" fillId="16" borderId="16" applyProtection="0">
      <alignment vertical="center"/>
    </xf>
    <xf numFmtId="0" fontId="19" fillId="0" borderId="0" applyProtection="0">
      <alignment vertical="center"/>
    </xf>
    <xf numFmtId="0" fontId="20" fillId="0" borderId="0" applyProtection="0">
      <alignment vertical="center"/>
    </xf>
    <xf numFmtId="0" fontId="21" fillId="0" borderId="0" applyProtection="0">
      <alignment vertical="center"/>
    </xf>
    <xf numFmtId="0" fontId="22" fillId="0" borderId="17" applyProtection="0">
      <alignment vertical="center"/>
    </xf>
    <xf numFmtId="0" fontId="23" fillId="0" borderId="17" applyProtection="0">
      <alignment vertical="center"/>
    </xf>
    <xf numFmtId="0" fontId="24" fillId="0" borderId="18" applyProtection="0">
      <alignment vertical="center"/>
    </xf>
    <xf numFmtId="0" fontId="24" fillId="0" borderId="0" applyProtection="0">
      <alignment vertical="center"/>
    </xf>
    <xf numFmtId="0" fontId="25" fillId="17" borderId="19" applyProtection="0">
      <alignment vertical="center"/>
    </xf>
    <xf numFmtId="0" fontId="26" fillId="18" borderId="20" applyProtection="0">
      <alignment vertical="center"/>
    </xf>
    <xf numFmtId="0" fontId="27" fillId="18" borderId="19" applyProtection="0">
      <alignment vertical="center"/>
    </xf>
    <xf numFmtId="0" fontId="28" fillId="19" borderId="21" applyProtection="0">
      <alignment vertical="center"/>
    </xf>
    <xf numFmtId="0" fontId="29" fillId="0" borderId="22" applyProtection="0">
      <alignment vertical="center"/>
    </xf>
    <xf numFmtId="0" fontId="30" fillId="0" borderId="23" applyProtection="0">
      <alignment vertical="center"/>
    </xf>
    <xf numFmtId="0" fontId="31" fillId="20" borderId="0" applyProtection="0">
      <alignment vertical="center"/>
    </xf>
    <xf numFmtId="0" fontId="32" fillId="21" borderId="0" applyProtection="0">
      <alignment vertical="center"/>
    </xf>
    <xf numFmtId="0" fontId="32" fillId="22" borderId="0" applyProtection="0">
      <alignment vertical="center"/>
    </xf>
    <xf numFmtId="0" fontId="33" fillId="23" borderId="0" applyProtection="0">
      <alignment vertical="center"/>
    </xf>
    <xf numFmtId="0" fontId="34" fillId="24" borderId="0" applyProtection="0">
      <alignment vertical="center"/>
    </xf>
    <xf numFmtId="0" fontId="34" fillId="25" borderId="0" applyProtection="0">
      <alignment vertical="center"/>
    </xf>
    <xf numFmtId="0" fontId="33" fillId="25" borderId="0" applyProtection="0">
      <alignment vertical="center"/>
    </xf>
    <xf numFmtId="0" fontId="33" fillId="26" borderId="0" applyProtection="0">
      <alignment vertical="center"/>
    </xf>
    <xf numFmtId="0" fontId="34" fillId="17" borderId="0" applyProtection="0">
      <alignment vertical="center"/>
    </xf>
    <xf numFmtId="0" fontId="34" fillId="17" borderId="0" applyProtection="0">
      <alignment vertical="center"/>
    </xf>
    <xf numFmtId="0" fontId="33" fillId="21" borderId="0" applyProtection="0">
      <alignment vertical="center"/>
    </xf>
    <xf numFmtId="0" fontId="33" fillId="19" borderId="0" applyProtection="0">
      <alignment vertical="center"/>
    </xf>
    <xf numFmtId="0" fontId="34" fillId="18" borderId="0" applyProtection="0">
      <alignment vertical="center"/>
    </xf>
    <xf numFmtId="0" fontId="34" fillId="27" borderId="0" applyProtection="0">
      <alignment vertical="center"/>
    </xf>
    <xf numFmtId="0" fontId="33" fillId="27" borderId="0" applyProtection="0">
      <alignment vertical="center"/>
    </xf>
    <xf numFmtId="0" fontId="33" fillId="7" borderId="0" applyProtection="0">
      <alignment vertical="center"/>
    </xf>
    <xf numFmtId="0" fontId="34" fillId="16" borderId="0" applyProtection="0">
      <alignment vertical="center"/>
    </xf>
    <xf numFmtId="0" fontId="34" fillId="17" borderId="0" applyProtection="0">
      <alignment vertical="center"/>
    </xf>
    <xf numFmtId="0" fontId="33" fillId="17" borderId="0" applyProtection="0">
      <alignment vertical="center"/>
    </xf>
    <xf numFmtId="0" fontId="33" fillId="23" borderId="0" applyProtection="0">
      <alignment vertical="center"/>
    </xf>
    <xf numFmtId="0" fontId="34" fillId="28" borderId="0" applyProtection="0">
      <alignment vertical="center"/>
    </xf>
    <xf numFmtId="0" fontId="34" fillId="25" borderId="0" applyProtection="0">
      <alignment vertical="center"/>
    </xf>
    <xf numFmtId="0" fontId="33" fillId="25" borderId="0" applyProtection="0">
      <alignment vertical="center"/>
    </xf>
    <xf numFmtId="0" fontId="33" fillId="29" borderId="0" applyProtection="0">
      <alignment vertical="center"/>
    </xf>
    <xf numFmtId="0" fontId="34" fillId="20" borderId="0" applyProtection="0">
      <alignment vertical="center"/>
    </xf>
    <xf numFmtId="0" fontId="34" fillId="20" borderId="0" applyProtection="0">
      <alignment vertical="center"/>
    </xf>
    <xf numFmtId="0" fontId="33" fillId="29" borderId="0" applyProtection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Continuous" vertical="center"/>
    </xf>
    <xf numFmtId="0" fontId="3" fillId="0" borderId="3" xfId="0" applyFont="1" applyFill="1" applyBorder="1" applyAlignment="1">
      <alignment horizontal="centerContinuous" vertical="center"/>
    </xf>
    <xf numFmtId="0" fontId="1" fillId="0" borderId="4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vertical="center" wrapText="1"/>
    </xf>
    <xf numFmtId="176" fontId="6" fillId="0" borderId="1" xfId="0" applyNumberFormat="1" applyFont="1" applyFill="1" applyBorder="1" applyAlignment="1">
      <alignment vertical="center"/>
    </xf>
    <xf numFmtId="0" fontId="1" fillId="4" borderId="1" xfId="0" applyNumberFormat="1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7" fillId="5" borderId="8" xfId="0" applyFont="1" applyFill="1" applyBorder="1" applyAlignment="1">
      <alignment horizontal="center" vertical="center"/>
    </xf>
    <xf numFmtId="0" fontId="1" fillId="4" borderId="8" xfId="0" applyNumberFormat="1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1" fillId="4" borderId="8" xfId="0" applyNumberFormat="1" applyFont="1" applyFill="1" applyBorder="1" applyAlignment="1">
      <alignment vertical="center"/>
    </xf>
    <xf numFmtId="177" fontId="9" fillId="0" borderId="1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3" xfId="0" applyFont="1" applyFill="1" applyBorder="1" applyAlignment="1">
      <alignment horizontal="centerContinuous" vertical="center"/>
    </xf>
    <xf numFmtId="0" fontId="1" fillId="0" borderId="9" xfId="0" applyFont="1" applyFill="1" applyBorder="1" applyAlignment="1">
      <alignment horizontal="centerContinuous" vertical="center"/>
    </xf>
    <xf numFmtId="0" fontId="1" fillId="0" borderId="10" xfId="0" applyFont="1" applyFill="1" applyBorder="1" applyAlignment="1">
      <alignment vertical="center"/>
    </xf>
    <xf numFmtId="178" fontId="1" fillId="4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177" fontId="9" fillId="0" borderId="1" xfId="0" applyNumberFormat="1" applyFont="1" applyFill="1" applyBorder="1" applyAlignment="1">
      <alignment horizontal="right" vertical="center"/>
    </xf>
    <xf numFmtId="0" fontId="1" fillId="0" borderId="11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centerContinuous" vertical="center"/>
    </xf>
    <xf numFmtId="0" fontId="1" fillId="4" borderId="10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10" fillId="6" borderId="1" xfId="0" applyNumberFormat="1" applyFont="1" applyFill="1" applyBorder="1" applyAlignment="1" applyProtection="1">
      <alignment horizontal="center" vertical="center"/>
    </xf>
    <xf numFmtId="0" fontId="11" fillId="7" borderId="1" xfId="0" applyNumberFormat="1" applyFont="1" applyFill="1" applyBorder="1" applyAlignment="1" applyProtection="1">
      <alignment horizontal="center" vertical="center"/>
    </xf>
    <xf numFmtId="0" fontId="11" fillId="6" borderId="1" xfId="0" applyNumberFormat="1" applyFont="1" applyFill="1" applyBorder="1" applyAlignment="1" applyProtection="1">
      <alignment horizontal="center" vertical="center"/>
    </xf>
    <xf numFmtId="0" fontId="12" fillId="6" borderId="1" xfId="0" applyNumberFormat="1" applyFont="1" applyFill="1" applyBorder="1" applyAlignment="1" applyProtection="1">
      <alignment horizontal="center" vertical="center"/>
    </xf>
    <xf numFmtId="2" fontId="12" fillId="8" borderId="1" xfId="0" applyNumberFormat="1" applyFont="1" applyFill="1" applyBorder="1" applyAlignment="1" applyProtection="1">
      <alignment horizontal="center" vertical="center"/>
      <protection locked="0"/>
    </xf>
    <xf numFmtId="0" fontId="0" fillId="2" borderId="1" xfId="0" applyNumberFormat="1" applyFont="1" applyFill="1" applyBorder="1" applyAlignment="1" applyProtection="1">
      <alignment horizontal="center" vertical="center"/>
    </xf>
    <xf numFmtId="0" fontId="0" fillId="7" borderId="1" xfId="0" applyNumberFormat="1" applyFont="1" applyFill="1" applyBorder="1" applyAlignment="1" applyProtection="1">
      <alignment horizontal="center" vertical="center"/>
    </xf>
    <xf numFmtId="0" fontId="0" fillId="9" borderId="1" xfId="0" applyNumberFormat="1" applyFont="1" applyFill="1" applyBorder="1" applyAlignment="1" applyProtection="1">
      <alignment horizontal="center" vertical="center"/>
      <protection locked="0"/>
    </xf>
    <xf numFmtId="0" fontId="12" fillId="8" borderId="1" xfId="0" applyNumberFormat="1" applyFont="1" applyFill="1" applyBorder="1" applyAlignment="1" applyProtection="1">
      <alignment horizontal="center" vertical="center"/>
      <protection locked="0"/>
    </xf>
    <xf numFmtId="0" fontId="0" fillId="5" borderId="1" xfId="0" applyNumberFormat="1" applyFont="1" applyFill="1" applyBorder="1" applyAlignment="1" applyProtection="1">
      <alignment horizontal="center" vertical="center"/>
    </xf>
    <xf numFmtId="0" fontId="0" fillId="8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1" xfId="0" applyNumberFormat="1" applyFont="1" applyFill="1" applyBorder="1" applyAlignment="1" applyProtection="1">
      <alignment horizontal="center" vertical="center"/>
    </xf>
    <xf numFmtId="179" fontId="0" fillId="6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1" fillId="6" borderId="1" xfId="0" applyNumberFormat="1" applyFont="1" applyFill="1" applyBorder="1" applyAlignment="1" applyProtection="1">
      <alignment vertical="center"/>
    </xf>
    <xf numFmtId="180" fontId="0" fillId="7" borderId="1" xfId="0" applyNumberFormat="1" applyFont="1" applyFill="1" applyBorder="1" applyAlignment="1" applyProtection="1">
      <alignment horizontal="center" vertical="center"/>
    </xf>
    <xf numFmtId="0" fontId="11" fillId="10" borderId="1" xfId="0" applyNumberFormat="1" applyFont="1" applyFill="1" applyBorder="1" applyAlignment="1" applyProtection="1">
      <alignment horizontal="center" vertical="center"/>
    </xf>
    <xf numFmtId="0" fontId="0" fillId="10" borderId="1" xfId="0" applyNumberFormat="1" applyFont="1" applyFill="1" applyBorder="1" applyAlignment="1" applyProtection="1">
      <alignment horizontal="center" vertical="center"/>
    </xf>
    <xf numFmtId="180" fontId="0" fillId="10" borderId="1" xfId="0" applyNumberFormat="1" applyFont="1" applyFill="1" applyBorder="1" applyAlignment="1" applyProtection="1">
      <alignment horizontal="center" vertical="center"/>
    </xf>
    <xf numFmtId="181" fontId="0" fillId="10" borderId="1" xfId="0" applyNumberFormat="1" applyFont="1" applyFill="1" applyBorder="1" applyAlignment="1" applyProtection="1">
      <alignment horizontal="center" vertical="center"/>
    </xf>
    <xf numFmtId="182" fontId="0" fillId="10" borderId="1" xfId="0" applyNumberFormat="1" applyFont="1" applyFill="1" applyBorder="1" applyAlignment="1" applyProtection="1">
      <alignment horizontal="center" vertical="center"/>
    </xf>
    <xf numFmtId="0" fontId="0" fillId="11" borderId="1" xfId="0" applyNumberFormat="1" applyFont="1" applyFill="1" applyBorder="1" applyAlignment="1" applyProtection="1">
      <alignment horizontal="center" vertical="center"/>
      <protection locked="0"/>
    </xf>
    <xf numFmtId="0" fontId="0" fillId="12" borderId="1" xfId="0" applyNumberFormat="1" applyFont="1" applyFill="1" applyBorder="1" applyAlignment="1" applyProtection="1">
      <alignment horizontal="center" vertical="center"/>
      <protection locked="0"/>
    </xf>
    <xf numFmtId="0" fontId="0" fillId="2" borderId="1" xfId="0" applyNumberFormat="1" applyFont="1" applyFill="1" applyBorder="1" applyAlignment="1" applyProtection="1">
      <alignment horizontal="center" vertical="center"/>
      <protection locked="0"/>
    </xf>
    <xf numFmtId="0" fontId="0" fillId="13" borderId="1" xfId="0" applyNumberFormat="1" applyFont="1" applyFill="1" applyBorder="1" applyAlignment="1" applyProtection="1">
      <alignment horizontal="center" vertical="center"/>
      <protection locked="0"/>
    </xf>
    <xf numFmtId="0" fontId="0" fillId="14" borderId="1" xfId="0" applyNumberFormat="1" applyFont="1" applyFill="1" applyBorder="1" applyAlignment="1" applyProtection="1">
      <alignment horizontal="center" vertical="center"/>
      <protection locked="0"/>
    </xf>
    <xf numFmtId="0" fontId="0" fillId="11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11" borderId="13" xfId="0" applyNumberFormat="1" applyFont="1" applyFill="1" applyBorder="1" applyAlignment="1" applyProtection="1">
      <alignment horizontal="center" vertical="center" wrapText="1"/>
      <protection locked="0"/>
    </xf>
    <xf numFmtId="0" fontId="0" fillId="11" borderId="14" xfId="0" applyNumberFormat="1" applyFont="1" applyFill="1" applyBorder="1" applyAlignment="1" applyProtection="1">
      <alignment horizontal="center" vertical="center" wrapText="1"/>
      <protection locked="0"/>
    </xf>
    <xf numFmtId="0" fontId="0" fillId="11" borderId="12" xfId="0" applyNumberFormat="1" applyFont="1" applyFill="1" applyBorder="1" applyAlignment="1" applyProtection="1">
      <alignment horizontal="center" vertical="center"/>
      <protection locked="0"/>
    </xf>
    <xf numFmtId="0" fontId="0" fillId="11" borderId="14" xfId="0" applyNumberFormat="1" applyFont="1" applyFill="1" applyBorder="1" applyAlignment="1" applyProtection="1">
      <alignment horizontal="center" vertical="center"/>
      <protection locked="0"/>
    </xf>
    <xf numFmtId="0" fontId="0" fillId="12" borderId="15" xfId="0" applyNumberFormat="1" applyFont="1" applyFill="1" applyBorder="1" applyAlignment="1" applyProtection="1">
      <alignment horizontal="center" vertical="center"/>
      <protection locked="0"/>
    </xf>
    <xf numFmtId="0" fontId="8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7" xfId="0" applyNumberFormat="1" applyFont="1" applyFill="1" applyBorder="1" applyAlignment="1" applyProtection="1">
      <alignment vertical="center"/>
      <protection locked="0"/>
    </xf>
    <xf numFmtId="0" fontId="0" fillId="0" borderId="12" xfId="0" applyNumberFormat="1" applyFont="1" applyFill="1" applyBorder="1" applyAlignment="1" applyProtection="1">
      <alignment horizontal="center" vertical="center"/>
      <protection locked="0"/>
    </xf>
    <xf numFmtId="0" fontId="0" fillId="1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7" xfId="0" applyNumberFormat="1" applyFont="1" applyFill="1" applyBorder="1" applyAlignment="1" applyProtection="1">
      <alignment horizontal="center" vertical="center"/>
      <protection locked="0"/>
    </xf>
    <xf numFmtId="0" fontId="1" fillId="0" borderId="8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7" xfId="0" applyNumberFormat="1" applyFont="1" applyFill="1" applyBorder="1" applyAlignment="1" applyProtection="1">
      <alignment horizontal="center" vertical="center"/>
      <protection locked="0"/>
    </xf>
    <xf numFmtId="0" fontId="0" fillId="0" borderId="15" xfId="0" applyNumberFormat="1" applyFont="1" applyFill="1" applyBorder="1" applyAlignment="1" applyProtection="1">
      <alignment horizontal="left" vertical="center"/>
      <protection locked="0"/>
    </xf>
    <xf numFmtId="0" fontId="0" fillId="0" borderId="8" xfId="0" applyNumberFormat="1" applyFont="1" applyFill="1" applyBorder="1" applyAlignment="1" applyProtection="1">
      <alignment horizontal="left" vertical="center"/>
      <protection locked="0"/>
    </xf>
    <xf numFmtId="0" fontId="0" fillId="0" borderId="7" xfId="0" applyNumberFormat="1" applyFont="1" applyFill="1" applyBorder="1" applyAlignment="1" applyProtection="1">
      <alignment horizontal="left" vertical="center"/>
      <protection locked="0"/>
    </xf>
    <xf numFmtId="4" fontId="0" fillId="14" borderId="1" xfId="0" applyNumberFormat="1" applyFont="1" applyFill="1" applyBorder="1" applyAlignment="1" applyProtection="1">
      <alignment horizontal="center" vertical="center"/>
      <protection locked="0"/>
    </xf>
    <xf numFmtId="0" fontId="0" fillId="5" borderId="1" xfId="0" applyNumberFormat="1" applyFont="1" applyFill="1" applyBorder="1" applyAlignment="1" applyProtection="1">
      <alignment horizontal="center" vertical="center"/>
      <protection locked="0"/>
    </xf>
    <xf numFmtId="0" fontId="0" fillId="5" borderId="12" xfId="0" applyNumberFormat="1" applyFont="1" applyFill="1" applyBorder="1" applyAlignment="1" applyProtection="1">
      <alignment horizontal="center" vertical="center"/>
      <protection locked="0"/>
    </xf>
    <xf numFmtId="0" fontId="0" fillId="5" borderId="13" xfId="0" applyNumberFormat="1" applyFont="1" applyFill="1" applyBorder="1" applyAlignment="1" applyProtection="1">
      <alignment horizontal="center" vertical="center"/>
      <protection locked="0"/>
    </xf>
    <xf numFmtId="0" fontId="0" fillId="5" borderId="14" xfId="0" applyNumberFormat="1" applyFont="1" applyFill="1" applyBorder="1" applyAlignment="1" applyProtection="1">
      <alignment horizontal="center" vertical="center"/>
      <protection locked="0"/>
    </xf>
    <xf numFmtId="2" fontId="0" fillId="5" borderId="1" xfId="0" applyNumberFormat="1" applyFont="1" applyFill="1" applyBorder="1" applyAlignment="1" applyProtection="1">
      <alignment horizontal="center" vertical="center"/>
      <protection locked="0"/>
    </xf>
    <xf numFmtId="0" fontId="10" fillId="6" borderId="15" xfId="0" applyNumberFormat="1" applyFont="1" applyFill="1" applyBorder="1" applyAlignment="1" applyProtection="1">
      <alignment horizontal="center" vertical="center"/>
    </xf>
    <xf numFmtId="0" fontId="10" fillId="6" borderId="8" xfId="0" applyNumberFormat="1" applyFont="1" applyFill="1" applyBorder="1" applyAlignment="1" applyProtection="1">
      <alignment horizontal="center" vertical="center"/>
    </xf>
    <xf numFmtId="0" fontId="11" fillId="7" borderId="15" xfId="0" applyNumberFormat="1" applyFont="1" applyFill="1" applyBorder="1" applyAlignment="1" applyProtection="1">
      <alignment horizontal="center" vertical="center"/>
    </xf>
    <xf numFmtId="0" fontId="11" fillId="7" borderId="8" xfId="0" applyNumberFormat="1" applyFont="1" applyFill="1" applyBorder="1" applyAlignment="1" applyProtection="1">
      <alignment horizontal="center" vertical="center"/>
    </xf>
    <xf numFmtId="183" fontId="14" fillId="0" borderId="1" xfId="0" applyNumberFormat="1" applyFont="1" applyFill="1" applyBorder="1" applyAlignment="1" applyProtection="1">
      <alignment horizontal="center" vertical="center"/>
      <protection locked="0"/>
    </xf>
    <xf numFmtId="184" fontId="14" fillId="0" borderId="1" xfId="0" applyNumberFormat="1" applyFont="1" applyFill="1" applyBorder="1" applyAlignment="1" applyProtection="1">
      <alignment horizontal="center" vertical="center"/>
      <protection locked="0"/>
    </xf>
    <xf numFmtId="185" fontId="14" fillId="0" borderId="1" xfId="0" applyNumberFormat="1" applyFont="1" applyFill="1" applyBorder="1" applyAlignment="1" applyProtection="1">
      <alignment horizontal="center" vertical="center"/>
      <protection locked="0"/>
    </xf>
    <xf numFmtId="186" fontId="14" fillId="0" borderId="1" xfId="0" applyNumberFormat="1" applyFont="1" applyFill="1" applyBorder="1" applyAlignment="1" applyProtection="1">
      <alignment horizontal="center" vertical="center"/>
      <protection locked="0"/>
    </xf>
    <xf numFmtId="187" fontId="14" fillId="0" borderId="1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Fill="1" applyBorder="1" applyAlignment="1" applyProtection="1">
      <alignment vertical="center"/>
    </xf>
    <xf numFmtId="0" fontId="11" fillId="10" borderId="15" xfId="0" applyNumberFormat="1" applyFont="1" applyFill="1" applyBorder="1" applyAlignment="1" applyProtection="1">
      <alignment horizontal="center" vertical="center"/>
    </xf>
    <xf numFmtId="0" fontId="11" fillId="10" borderId="7" xfId="0" applyNumberFormat="1" applyFont="1" applyFill="1" applyBorder="1" applyAlignment="1" applyProtection="1">
      <alignment horizontal="center" vertical="center"/>
    </xf>
    <xf numFmtId="0" fontId="0" fillId="11" borderId="1" xfId="0" applyNumberFormat="1" applyFont="1" applyFill="1" applyBorder="1" applyAlignment="1" applyProtection="1">
      <alignment horizontal="center" vertical="center"/>
    </xf>
    <xf numFmtId="0" fontId="0" fillId="12" borderId="1" xfId="0" applyNumberFormat="1" applyFont="1" applyFill="1" applyBorder="1" applyAlignment="1" applyProtection="1">
      <alignment horizontal="center" vertical="center"/>
    </xf>
    <xf numFmtId="188" fontId="0" fillId="0" borderId="1" xfId="0" applyNumberFormat="1" applyFont="1" applyFill="1" applyBorder="1" applyAlignment="1" applyProtection="1">
      <alignment vertical="center" wrapText="1"/>
    </xf>
    <xf numFmtId="0" fontId="0" fillId="14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vertical="center" wrapText="1"/>
    </xf>
    <xf numFmtId="0" fontId="0" fillId="0" borderId="1" xfId="0" applyNumberFormat="1" applyFont="1" applyFill="1" applyBorder="1" applyAlignment="1" applyProtection="1">
      <alignment vertical="center"/>
    </xf>
    <xf numFmtId="0" fontId="11" fillId="0" borderId="7" xfId="0" applyNumberFormat="1" applyFont="1" applyFill="1" applyBorder="1" applyAlignment="1" applyProtection="1">
      <alignment vertical="center"/>
    </xf>
    <xf numFmtId="0" fontId="0" fillId="0" borderId="12" xfId="0" applyNumberFormat="1" applyFont="1" applyFill="1" applyBorder="1" applyAlignment="1" applyProtection="1">
      <alignment horizontal="center" vertical="center"/>
    </xf>
    <xf numFmtId="0" fontId="0" fillId="0" borderId="1" xfId="0" applyBorder="1" applyProtection="1">
      <alignment vertical="center"/>
    </xf>
    <xf numFmtId="0" fontId="0" fillId="0" borderId="7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centerContinuous" vertical="center"/>
    </xf>
    <xf numFmtId="0" fontId="0" fillId="0" borderId="7" xfId="0" applyNumberFormat="1" applyFont="1" applyFill="1" applyBorder="1" applyAlignment="1" applyProtection="1">
      <alignment horizontal="centerContinuous" vertical="center"/>
    </xf>
    <xf numFmtId="0" fontId="0" fillId="0" borderId="1" xfId="0" applyNumberFormat="1" applyFont="1" applyFill="1" applyBorder="1" applyAlignment="1" applyProtection="1">
      <alignment horizontal="centerContinuous" vertical="center"/>
    </xf>
    <xf numFmtId="14" fontId="0" fillId="0" borderId="1" xfId="0" applyNumberFormat="1" applyFont="1" applyFill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0" fillId="0" borderId="15" xfId="0" applyNumberFormat="1" applyFont="1" applyFill="1" applyBorder="1" applyAlignment="1" applyProtection="1">
      <alignment horizontal="center" vertical="center"/>
    </xf>
    <xf numFmtId="0" fontId="0" fillId="0" borderId="15" xfId="0" applyNumberFormat="1" applyFont="1" applyFill="1" applyBorder="1" applyAlignment="1" applyProtection="1">
      <alignment horizontal="center" vertical="center"/>
    </xf>
    <xf numFmtId="0" fontId="16" fillId="0" borderId="0" xfId="0" applyFont="1" applyProtection="1">
      <alignment vertical="center"/>
    </xf>
    <xf numFmtId="4" fontId="0" fillId="0" borderId="1" xfId="0" applyNumberFormat="1" applyFont="1" applyFill="1" applyBorder="1" applyAlignment="1" applyProtection="1">
      <alignment horizontal="center" vertical="center"/>
    </xf>
    <xf numFmtId="2" fontId="0" fillId="0" borderId="1" xfId="0" applyNumberFormat="1" applyFont="1" applyFill="1" applyBorder="1" applyAlignment="1" applyProtection="1">
      <alignment horizontal="center" vertical="center"/>
    </xf>
    <xf numFmtId="14" fontId="0" fillId="0" borderId="15" xfId="0" applyNumberFormat="1" applyFont="1" applyFill="1" applyBorder="1" applyAlignment="1" applyProtection="1">
      <alignment horizontal="center" vertic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Protection="1">
      <alignment vertical="center"/>
      <protection locked="0"/>
    </xf>
    <xf numFmtId="0" fontId="15" fillId="0" borderId="1" xfId="0" applyFont="1" applyBorder="1" applyProtection="1">
      <alignment vertical="center"/>
      <protection locked="0"/>
    </xf>
    <xf numFmtId="0" fontId="1" fillId="4" borderId="1" xfId="0" applyNumberFormat="1" applyFont="1" applyFill="1" applyBorder="1" applyAlignment="1" quotePrefix="1">
      <alignment vertical="center" wrapText="1"/>
    </xf>
    <xf numFmtId="0" fontId="1" fillId="4" borderId="1" xfId="0" applyNumberFormat="1" applyFont="1" applyFill="1" applyBorder="1" applyAlignment="1" quotePrefix="1">
      <alignment vertical="center"/>
    </xf>
    <xf numFmtId="0" fontId="1" fillId="4" borderId="10" xfId="0" applyNumberFormat="1" applyFont="1" applyFill="1" applyBorder="1" applyAlignment="1" quotePrefix="1">
      <alignment vertical="center"/>
    </xf>
    <xf numFmtId="0" fontId="1" fillId="4" borderId="8" xfId="0" applyNumberFormat="1" applyFont="1" applyFill="1" applyBorder="1" applyAlignment="1" quotePrefix="1">
      <alignment vertical="center"/>
    </xf>
    <xf numFmtId="0" fontId="1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FFFF"/>
      <color rgb="0092D050"/>
      <color rgb="00FFC000"/>
      <color rgb="009BC2E6"/>
      <color rgb="00FFCC00"/>
      <color rgb="00FFFF00"/>
      <color rgb="00FF0000"/>
      <color rgb="00000000"/>
      <color rgb="00008000"/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359410</xdr:colOff>
      <xdr:row>2</xdr:row>
      <xdr:rowOff>26670</xdr:rowOff>
    </xdr:from>
    <xdr:to>
      <xdr:col>1</xdr:col>
      <xdr:colOff>495935</xdr:colOff>
      <xdr:row>2</xdr:row>
      <xdr:rowOff>169545</xdr:rowOff>
    </xdr:to>
    <xdr:pic>
      <xdr:nvPicPr>
        <xdr:cNvPr id="1369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2410" y="388620"/>
          <a:ext cx="136525" cy="142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57"/>
  <sheetViews>
    <sheetView tabSelected="1" zoomScale="130" zoomScaleNormal="130" workbookViewId="0">
      <selection activeCell="D7" sqref="D7"/>
    </sheetView>
  </sheetViews>
  <sheetFormatPr defaultColWidth="9" defaultRowHeight="14.25" customHeight="1"/>
  <cols>
    <col min="1" max="1" width="16.5333333333333" style="35" customWidth="1"/>
    <col min="2" max="2" width="11.25" style="35" customWidth="1"/>
    <col min="3" max="3" width="19.125" style="35" customWidth="1"/>
    <col min="4" max="4" width="16.0583333333333" style="35" customWidth="1"/>
    <col min="5" max="5" width="13.1666666666667" style="35" customWidth="1"/>
    <col min="6" max="6" width="19.125" style="35" customWidth="1"/>
    <col min="7" max="7" width="18.3583333333333" style="35" customWidth="1"/>
    <col min="8" max="8" width="13.55" style="35" customWidth="1"/>
    <col min="9" max="9" width="18.65" style="35" customWidth="1"/>
    <col min="10" max="10" width="10.375" style="35" customWidth="1"/>
    <col min="11" max="11" width="13.875" style="35" customWidth="1"/>
    <col min="12" max="13" width="9" style="35"/>
    <col min="14" max="14" width="9.375" style="35" customWidth="1"/>
    <col min="15" max="16384" width="9" style="35"/>
  </cols>
  <sheetData>
    <row r="1" customHeight="1" spans="1:5">
      <c r="A1" s="90" t="s">
        <v>0</v>
      </c>
      <c r="B1" s="91"/>
      <c r="C1" s="35"/>
      <c r="D1" s="92" t="s">
        <v>1</v>
      </c>
      <c r="E1" s="93"/>
    </row>
    <row r="2" customHeight="1" spans="1:10">
      <c r="A2" s="37" t="s">
        <v>2</v>
      </c>
      <c r="B2" s="61">
        <v>500</v>
      </c>
      <c r="C2" s="35"/>
      <c r="D2" s="37" t="s">
        <v>3</v>
      </c>
      <c r="E2" s="61">
        <v>7.4</v>
      </c>
      <c r="J2" s="118"/>
    </row>
    <row r="3" customHeight="1" spans="1:10">
      <c r="A3" s="37" t="s">
        <v>4</v>
      </c>
      <c r="B3" s="61">
        <v>250</v>
      </c>
      <c r="C3" s="35"/>
      <c r="D3" s="37" t="s">
        <v>5</v>
      </c>
      <c r="E3" s="41">
        <f>E2-E7/2</f>
        <v>4.315</v>
      </c>
      <c r="J3" s="118"/>
    </row>
    <row r="4" customHeight="1" spans="1:10">
      <c r="A4" s="38" t="s">
        <v>6</v>
      </c>
      <c r="B4" s="61">
        <f>C4*C4/C5</f>
        <v>2.048</v>
      </c>
      <c r="C4" s="94">
        <v>25.6</v>
      </c>
      <c r="D4" s="37" t="s">
        <v>7</v>
      </c>
      <c r="E4" s="41">
        <f>B2-E2*2</f>
        <v>485.2</v>
      </c>
      <c r="J4" s="119"/>
    </row>
    <row r="5" customHeight="1" spans="1:10">
      <c r="A5" s="38" t="s">
        <v>8</v>
      </c>
      <c r="B5" s="61">
        <v>0.795</v>
      </c>
      <c r="C5" s="95" t="s">
        <v>9</v>
      </c>
      <c r="D5" s="37" t="s">
        <v>10</v>
      </c>
      <c r="E5" s="41">
        <f>B3-E2*2</f>
        <v>235.2</v>
      </c>
      <c r="J5" s="119"/>
    </row>
    <row r="6" customHeight="1" spans="1:5">
      <c r="A6" s="38" t="s">
        <v>11</v>
      </c>
      <c r="B6" s="61">
        <v>0.05</v>
      </c>
      <c r="C6" s="96">
        <f>ROUND(C5/C4,2)</f>
        <v>12.5</v>
      </c>
      <c r="D6" s="37" t="s">
        <v>12</v>
      </c>
      <c r="E6" s="61">
        <v>4</v>
      </c>
    </row>
    <row r="7" customHeight="1" spans="1:10">
      <c r="A7" s="38" t="s">
        <v>13</v>
      </c>
      <c r="B7" s="48">
        <f>B4*B6/B5*1000</f>
        <v>128.805031446541</v>
      </c>
      <c r="C7" s="97">
        <f>ROUND(C5/E14*100,2)</f>
        <v>0.26</v>
      </c>
      <c r="D7" s="37" t="s">
        <v>14</v>
      </c>
      <c r="E7" s="61">
        <v>6.17</v>
      </c>
      <c r="F7" s="98">
        <f>E7*E6*2+3+10</f>
        <v>62.36</v>
      </c>
      <c r="J7" s="119"/>
    </row>
    <row r="8" customHeight="1" spans="1:11">
      <c r="A8" s="38" t="s">
        <v>15</v>
      </c>
      <c r="B8" s="47">
        <v>0.0048</v>
      </c>
      <c r="D8" s="37" t="s">
        <v>16</v>
      </c>
      <c r="E8" s="51">
        <f>E6*E6*B7*E7</f>
        <v>12715.6327044025</v>
      </c>
      <c r="F8" s="99"/>
      <c r="K8" s="120"/>
    </row>
    <row r="9" customHeight="1" spans="1:10">
      <c r="A9" s="100" t="s">
        <v>17</v>
      </c>
      <c r="B9" s="101"/>
      <c r="C9" s="52" t="s">
        <v>18</v>
      </c>
      <c r="D9" s="100" t="s">
        <v>19</v>
      </c>
      <c r="E9" s="101"/>
      <c r="F9" s="52" t="s">
        <v>18</v>
      </c>
      <c r="J9" s="119"/>
    </row>
    <row r="10" customHeight="1" spans="1:11">
      <c r="A10" s="52" t="s">
        <v>20</v>
      </c>
      <c r="B10" s="54">
        <f>EVEN(E8/E4)</f>
        <v>28</v>
      </c>
      <c r="C10" s="41">
        <f>B10/(E6*2)</f>
        <v>3.5</v>
      </c>
      <c r="D10" s="52" t="s">
        <v>21</v>
      </c>
      <c r="E10" s="54">
        <f>EVEN(E8/E5)</f>
        <v>56</v>
      </c>
      <c r="F10" s="41">
        <f>E10/(E6*2)</f>
        <v>7</v>
      </c>
      <c r="K10" s="119"/>
    </row>
    <row r="11" customHeight="1" spans="1:11">
      <c r="A11" s="52" t="s">
        <v>22</v>
      </c>
      <c r="B11" s="55">
        <f>E5/(B10-1)</f>
        <v>8.71111111111111</v>
      </c>
      <c r="C11" s="41" t="str">
        <f>CONCATENATE(TRUNC((FLOOR($C$10,1)-1)*2*$E$6*$E$4/$E$6/$E$6/$B$7,2),"(↓)",ROUNDUP(((INT($C$10)+1)*2*$E$6-2+10^(-LEN(TEXT(ABS(ROUND($E$8,0)),"0"))))*$E$4/$E$6/$E$6/$B$7,2),"(↑)")</f>
        <v>3.76(↓)7.07(↑)</v>
      </c>
      <c r="D11" s="52" t="s">
        <v>22</v>
      </c>
      <c r="E11" s="55">
        <f>E4/(E10-1)</f>
        <v>8.82181818181818</v>
      </c>
      <c r="F11" s="41" t="str">
        <f>CONCATENATE(TRUNC((FLOOR($F$10,1)-1)*2*$E$6*$E$5/$E$6/$E$6/$B$7,2),"(↓)",ROUNDUP(((INT($F$10)+1)*2*$E$6-2+10^(-LEN(TEXT(ABS(ROUND($E$8,0)),"0"))))*$E$5/$E$6/$E$6/$B$7,2),"(↑)")</f>
        <v>5.47(↓)7.08(↑)</v>
      </c>
      <c r="K11" s="119"/>
    </row>
    <row r="12" customHeight="1" spans="1:11">
      <c r="A12" s="52" t="s">
        <v>23</v>
      </c>
      <c r="B12" s="55">
        <f>B11-E7</f>
        <v>2.54111111111111</v>
      </c>
      <c r="C12" s="41" t="str">
        <f>_xlfn.CONCAT(ROUNDUP((FLOOR($C$10,1)*2*$E$6-2+10^(-LEN(TEXT(ABS(ROUND($E$8,0)),"0"))))*$E$4/$E$6/$E$6/$B$7,2),"～",TRUNC(FLOOR($C$10,1)*2*$E$6*$E$4/$E$6/$E$6/$B$7,2))</f>
        <v>5.18～5.65</v>
      </c>
      <c r="D12" s="52" t="s">
        <v>23</v>
      </c>
      <c r="E12" s="55">
        <f>E11-E7</f>
        <v>2.65181818181818</v>
      </c>
      <c r="F12" s="41" t="str">
        <f>_xlfn.CONCAT(ROUNDUP((FLOOR($F$10,1)*2*$E$6-2+10^(-LEN(TEXT(ABS(ROUND($E$8,0)),"0"))))*$E$5/$E$6/$E$6/$B$7,2),"～",TRUNC(FLOOR($F$10,1)*2*$E$6*$E$5/$E$6/$E$6/$B$7,2))</f>
        <v>6.17～6.39</v>
      </c>
      <c r="K12" s="119"/>
    </row>
    <row r="13" s="34" customFormat="1" customHeight="1" spans="1:11">
      <c r="A13" s="102" t="s">
        <v>24</v>
      </c>
      <c r="B13" s="103">
        <f>B2*B3</f>
        <v>125000</v>
      </c>
      <c r="C13" s="35"/>
      <c r="D13" s="102" t="s">
        <v>24</v>
      </c>
      <c r="E13" s="103">
        <f>B2*B3</f>
        <v>125000</v>
      </c>
      <c r="F13" s="35"/>
      <c r="G13" s="35"/>
      <c r="H13" s="104"/>
      <c r="I13" s="121"/>
      <c r="J13" s="35"/>
      <c r="K13" s="35"/>
    </row>
    <row r="14" s="34" customFormat="1" customHeight="1" spans="1:11">
      <c r="A14" s="102" t="s">
        <v>25</v>
      </c>
      <c r="B14" s="105">
        <f>E14</f>
        <v>125000</v>
      </c>
      <c r="C14" s="35"/>
      <c r="D14" s="102" t="s">
        <v>25</v>
      </c>
      <c r="E14" s="61">
        <f>B2*B3</f>
        <v>125000</v>
      </c>
      <c r="F14" s="35"/>
      <c r="G14" s="35"/>
      <c r="H14" s="106"/>
      <c r="I14" s="107"/>
      <c r="J14" s="35"/>
      <c r="K14" s="35"/>
    </row>
    <row r="15" s="34" customFormat="1" customHeight="1" spans="1:11">
      <c r="A15" s="102" t="s">
        <v>26</v>
      </c>
      <c r="B15" s="103">
        <f>(1-B14/B13)+B8</f>
        <v>0.0048</v>
      </c>
      <c r="C15" s="35"/>
      <c r="D15" s="102" t="s">
        <v>26</v>
      </c>
      <c r="E15" s="103">
        <f>(1-E14/E13)+B8</f>
        <v>0.0048</v>
      </c>
      <c r="F15" s="35"/>
      <c r="G15" s="35"/>
      <c r="H15" s="106"/>
      <c r="I15" s="107"/>
      <c r="J15" s="35"/>
      <c r="K15" s="35"/>
    </row>
    <row r="16" s="34" customFormat="1" customHeight="1" spans="1:11">
      <c r="A16" s="102" t="s">
        <v>27</v>
      </c>
      <c r="B16" s="103">
        <f>E7</f>
        <v>6.17</v>
      </c>
      <c r="C16" s="35"/>
      <c r="D16" s="102" t="s">
        <v>27</v>
      </c>
      <c r="E16" s="103">
        <f>E7</f>
        <v>6.17</v>
      </c>
      <c r="F16" s="35"/>
      <c r="G16" s="35"/>
      <c r="H16" s="35"/>
      <c r="I16" s="107"/>
      <c r="J16" s="35"/>
      <c r="K16" s="35"/>
    </row>
    <row r="17" s="34" customFormat="1" customHeight="1" spans="1:11">
      <c r="A17" s="102" t="s">
        <v>28</v>
      </c>
      <c r="B17" s="41">
        <f>B16-(B16*B15)</f>
        <v>6.140384</v>
      </c>
      <c r="C17" s="35"/>
      <c r="D17" s="102" t="s">
        <v>28</v>
      </c>
      <c r="E17" s="41">
        <f>E16-(E16*E15)</f>
        <v>6.140384</v>
      </c>
      <c r="F17" s="35"/>
      <c r="G17" s="35"/>
      <c r="H17" s="107"/>
      <c r="I17" s="35"/>
      <c r="J17" s="35"/>
      <c r="K17" s="35"/>
    </row>
    <row r="18" s="34" customFormat="1" customHeight="1" spans="1:11">
      <c r="A18" s="102" t="s">
        <v>29</v>
      </c>
      <c r="B18" s="41">
        <f>B11-B17</f>
        <v>2.57072711111111</v>
      </c>
      <c r="C18" s="35"/>
      <c r="D18" s="102" t="s">
        <v>29</v>
      </c>
      <c r="E18" s="41">
        <f>E11-E17</f>
        <v>2.68143418181818</v>
      </c>
      <c r="F18" s="35"/>
      <c r="G18" s="35"/>
      <c r="H18" s="35"/>
      <c r="I18" s="122"/>
      <c r="J18" s="35"/>
      <c r="K18" s="35"/>
    </row>
    <row r="19" s="34" customFormat="1" customHeight="1" spans="1:11">
      <c r="A19" s="102" t="s">
        <v>30</v>
      </c>
      <c r="B19" s="41">
        <f>B17/B18</f>
        <v>2.38857869178733</v>
      </c>
      <c r="C19" s="108"/>
      <c r="D19" s="102" t="s">
        <v>30</v>
      </c>
      <c r="E19" s="41">
        <f>E17/E18</f>
        <v>2.28996260345888</v>
      </c>
      <c r="F19" s="109"/>
      <c r="G19" s="35"/>
      <c r="H19" s="35"/>
      <c r="I19" s="35"/>
      <c r="J19" s="35"/>
      <c r="K19" s="35"/>
    </row>
    <row r="20" s="34" customFormat="1" customHeight="1" spans="1:11">
      <c r="A20" s="110"/>
      <c r="B20" s="110"/>
      <c r="C20" s="111"/>
      <c r="D20" s="35" t="s">
        <v>31</v>
      </c>
      <c r="E20" s="112" t="str">
        <f>CONCATENATE("R",(ROUND($B$4,2)),"Ω±",(MID($D20,5,1)),"%(R",ROUND(ROUND($B$4,2)*(1-(MID($D20,5,1)*0.01)),2),"-",ROUND($B$4,2),"-",ROUND(ROUND($B$4,2)*(1+(MID($D20,5,1)*0.01)),2),"Ω)")</f>
        <v>R2.05Ω±4%(R1.97-2.05-2.13Ω)</v>
      </c>
      <c r="F20" s="35"/>
      <c r="G20" s="35"/>
      <c r="H20" s="35"/>
      <c r="I20" s="35"/>
      <c r="J20" s="35"/>
      <c r="K20" s="35"/>
    </row>
    <row r="21" s="34" customFormat="1" customHeight="1" spans="1:11">
      <c r="A21" s="110"/>
      <c r="B21" s="110"/>
      <c r="C21" s="111"/>
      <c r="D21" s="35" t="s">
        <v>32</v>
      </c>
      <c r="E21" s="112" t="str">
        <f>CONCATENATE("R",(ROUND($B$4,2)),"Ω±",(MID($D21,5,1)),"%(R",ROUND(ROUND($B$4,2)*(1-(MID($D21,5,1)*0.01)),2),"-",ROUND($B$4,2),"-",ROUND(ROUND($B$4,2)*(1+(MID($D21,5,1)*0.01)),2),"Ω)")</f>
        <v>R2.05Ω±5%(R1.95-2.05-2.15Ω)</v>
      </c>
      <c r="F21" s="35"/>
      <c r="G21" s="35"/>
      <c r="H21" s="35"/>
      <c r="I21" s="35"/>
      <c r="J21" s="35"/>
      <c r="K21" s="119" t="s">
        <v>33</v>
      </c>
    </row>
    <row r="22" s="34" customFormat="1" customHeight="1" spans="1:11">
      <c r="A22" s="113" t="s">
        <v>34</v>
      </c>
      <c r="B22" s="113"/>
      <c r="C22" s="114"/>
      <c r="D22" s="115"/>
      <c r="E22" s="115"/>
      <c r="F22" s="115"/>
      <c r="G22" s="35"/>
      <c r="H22" s="35"/>
      <c r="I22" s="35"/>
      <c r="J22" s="35"/>
      <c r="K22" s="123">
        <v>46167</v>
      </c>
    </row>
    <row r="23" s="34" customFormat="1" customHeight="1" spans="1:11">
      <c r="A23" s="34" t="s">
        <v>35</v>
      </c>
      <c r="B23" s="116">
        <f ca="1">TODAY()</f>
        <v>46174</v>
      </c>
      <c r="C23" s="34" t="str">
        <f>E20</f>
        <v>R2.05Ω±4%(R1.97-2.05-2.13Ω)</v>
      </c>
      <c r="D23" s="34" t="str">
        <f>_xlfn.CONCAT(B2,"*",B3)</f>
        <v>500*250</v>
      </c>
      <c r="E23" s="117" t="str">
        <f>_xlfn.CONCAT("SUS304 ",B6,"T(",B5,")")</f>
        <v>SUS304 0.05T(0.795)</v>
      </c>
      <c r="F23" s="34" t="s">
        <v>36</v>
      </c>
      <c r="G23" s="117" t="s">
        <v>37</v>
      </c>
      <c r="H23" s="117"/>
      <c r="I23" s="124"/>
      <c r="J23" s="125"/>
      <c r="K23" s="126" t="s">
        <v>38</v>
      </c>
    </row>
    <row r="24" s="34" customFormat="1" customHeight="1"/>
    <row r="25" s="34" customFormat="1" customHeight="1"/>
    <row r="26" s="34" customFormat="1" customHeight="1"/>
    <row r="27" s="34" customFormat="1" customHeight="1"/>
    <row r="28" s="34" customFormat="1" customHeight="1"/>
    <row r="29" s="34" customFormat="1" customHeight="1"/>
    <row r="30" s="34" customFormat="1" customHeight="1"/>
    <row r="31" s="34" customFormat="1" customHeight="1"/>
    <row r="32" s="34" customFormat="1" customHeight="1"/>
    <row r="33" s="34" customFormat="1" customHeight="1"/>
    <row r="34" s="34" customFormat="1" customHeight="1"/>
    <row r="35" s="34" customFormat="1" customHeight="1"/>
    <row r="36" s="34" customFormat="1" customHeight="1"/>
    <row r="37" s="34" customFormat="1" customHeight="1"/>
    <row r="38" s="34" customFormat="1" customHeight="1"/>
    <row r="39" s="34" customFormat="1" customHeight="1"/>
    <row r="40" s="34" customFormat="1" customHeight="1"/>
    <row r="41" s="34" customFormat="1" customHeight="1"/>
    <row r="42" s="34" customFormat="1" customHeight="1"/>
    <row r="43" s="34" customFormat="1" customHeight="1"/>
    <row r="44" s="34" customFormat="1" customHeight="1"/>
    <row r="45" s="34" customFormat="1" customHeight="1"/>
    <row r="46" s="34" customFormat="1" customHeight="1"/>
    <row r="47" s="34" customFormat="1" customHeight="1"/>
    <row r="48" s="34" customFormat="1" customHeight="1"/>
    <row r="49" s="34" customFormat="1" customHeight="1"/>
    <row r="50" s="34" customFormat="1" customHeight="1"/>
    <row r="51" s="34" customFormat="1" customHeight="1"/>
    <row r="52" s="34" customFormat="1" customHeight="1"/>
    <row r="53" s="34" customFormat="1" customHeight="1"/>
    <row r="54" s="34" customFormat="1" customHeight="1"/>
    <row r="55" s="34" customFormat="1" customHeight="1"/>
    <row r="56" s="34" customFormat="1" customHeight="1"/>
    <row r="57" s="34" customFormat="1" customHeight="1" spans="7:8">
      <c r="G57" s="35"/>
      <c r="H57" s="35"/>
    </row>
  </sheetData>
  <sheetProtection selectLockedCells="1"/>
  <mergeCells count="4">
    <mergeCell ref="A1:B1"/>
    <mergeCell ref="D1:E1"/>
    <mergeCell ref="A9:B9"/>
    <mergeCell ref="D9:E9"/>
  </mergeCells>
  <pageMargins left="0.75" right="0.75" top="1" bottom="1" header="0.511111111111111" footer="0.511111111111111"/>
  <pageSetup paperSize="9" orientation="portrait"/>
  <headerFooter alignWithMargins="0" scaleWithDoc="0"/>
  <ignoredErrors>
    <ignoredError sqref="C23 B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60"/>
  <sheetViews>
    <sheetView zoomScale="130" zoomScaleNormal="130" workbookViewId="0">
      <selection activeCell="A31" sqref="A31"/>
    </sheetView>
  </sheetViews>
  <sheetFormatPr defaultColWidth="9" defaultRowHeight="14.25" customHeight="1"/>
  <cols>
    <col min="1" max="1" width="15" style="35" customWidth="1"/>
    <col min="2" max="2" width="11.225" style="35" customWidth="1"/>
    <col min="3" max="3" width="10.4583333333333" style="35" customWidth="1"/>
    <col min="4" max="4" width="15.5833333333333" style="35" customWidth="1"/>
    <col min="5" max="5" width="11.5833333333333" style="35" customWidth="1"/>
    <col min="6" max="6" width="10.5833333333333" style="35" customWidth="1"/>
    <col min="7" max="7" width="4.25" style="35" customWidth="1"/>
    <col min="8" max="8" width="12.2" style="35" customWidth="1"/>
    <col min="9" max="9" width="18.2666666666667" style="35" customWidth="1"/>
    <col min="10" max="10" width="13.3583333333333" style="35" customWidth="1"/>
    <col min="11" max="11" width="13.8333333333333" style="35" customWidth="1"/>
    <col min="12" max="16384" width="9" style="35"/>
  </cols>
  <sheetData>
    <row r="1" customHeight="1" spans="1:13">
      <c r="A1" s="36" t="s">
        <v>39</v>
      </c>
      <c r="B1" s="36"/>
      <c r="C1" s="36"/>
      <c r="D1" s="36"/>
      <c r="E1" s="37" t="s">
        <v>40</v>
      </c>
      <c r="F1" s="37"/>
      <c r="G1" s="37"/>
      <c r="H1" s="35" t="s">
        <v>3</v>
      </c>
      <c r="I1" s="35" t="s">
        <v>41</v>
      </c>
      <c r="K1" s="76"/>
      <c r="L1" s="77"/>
      <c r="M1" s="72"/>
    </row>
    <row r="2" customHeight="1" spans="1:13">
      <c r="A2" s="38" t="s">
        <v>42</v>
      </c>
      <c r="B2" s="39" t="s">
        <v>43</v>
      </c>
      <c r="C2" s="40">
        <f>30*30/50</f>
        <v>18</v>
      </c>
      <c r="D2" s="39" t="s">
        <v>44</v>
      </c>
      <c r="E2" s="37" t="s">
        <v>41</v>
      </c>
      <c r="F2" s="41">
        <f>I2-H2*2</f>
        <v>147.8</v>
      </c>
      <c r="G2" s="42" t="s">
        <v>45</v>
      </c>
      <c r="H2" s="43">
        <v>6.1</v>
      </c>
      <c r="I2" s="43">
        <v>160</v>
      </c>
      <c r="K2" s="76"/>
      <c r="L2" s="77"/>
      <c r="M2" s="72"/>
    </row>
    <row r="3" customHeight="1" spans="1:13">
      <c r="A3" s="38" t="s">
        <v>46</v>
      </c>
      <c r="B3" s="39"/>
      <c r="C3" s="44">
        <v>0.795</v>
      </c>
      <c r="D3" s="39" t="s">
        <v>47</v>
      </c>
      <c r="E3" s="37" t="s">
        <v>48</v>
      </c>
      <c r="F3" s="41">
        <f>I3-H2*2</f>
        <v>47.8</v>
      </c>
      <c r="G3" s="42" t="s">
        <v>45</v>
      </c>
      <c r="H3" s="45">
        <f>H2-H7</f>
        <v>0.97</v>
      </c>
      <c r="I3" s="43">
        <v>60</v>
      </c>
      <c r="K3" s="76"/>
      <c r="L3" s="77"/>
      <c r="M3" s="72"/>
    </row>
    <row r="4" customHeight="1" spans="1:13">
      <c r="A4" s="38" t="s">
        <v>49</v>
      </c>
      <c r="B4" s="39" t="s">
        <v>50</v>
      </c>
      <c r="C4" s="44">
        <v>0.05</v>
      </c>
      <c r="D4" s="39" t="s">
        <v>45</v>
      </c>
      <c r="E4" s="37" t="s">
        <v>51</v>
      </c>
      <c r="F4" s="46">
        <v>1</v>
      </c>
      <c r="G4" s="42" t="s">
        <v>52</v>
      </c>
      <c r="H4" s="41">
        <f>H2-H6</f>
        <v>5.13</v>
      </c>
      <c r="I4" s="34" t="s">
        <v>48</v>
      </c>
      <c r="K4" s="76" t="s">
        <v>53</v>
      </c>
      <c r="L4" s="77"/>
      <c r="M4" s="72"/>
    </row>
    <row r="5" customHeight="1" spans="1:13">
      <c r="A5" s="38" t="s">
        <v>54</v>
      </c>
      <c r="B5" s="47" t="s">
        <v>55</v>
      </c>
      <c r="C5" s="48">
        <f>C2*C4/C3*1000</f>
        <v>1132.07547169811</v>
      </c>
      <c r="D5" s="39" t="s">
        <v>45</v>
      </c>
      <c r="E5" s="37" t="s">
        <v>27</v>
      </c>
      <c r="F5" s="46">
        <v>1.94</v>
      </c>
      <c r="G5" s="42" t="s">
        <v>45</v>
      </c>
      <c r="H5" s="49" t="s">
        <v>56</v>
      </c>
      <c r="J5" s="34"/>
      <c r="K5" s="78"/>
      <c r="L5" s="79"/>
      <c r="M5" s="80"/>
    </row>
    <row r="6" customHeight="1" spans="1:13">
      <c r="A6" s="47"/>
      <c r="B6" s="50"/>
      <c r="C6" s="50"/>
      <c r="D6" s="50"/>
      <c r="E6" s="37" t="s">
        <v>57</v>
      </c>
      <c r="F6" s="51">
        <f>F4*F4*C5*F5</f>
        <v>2196.22641509434</v>
      </c>
      <c r="G6" s="42" t="s">
        <v>45</v>
      </c>
      <c r="H6" s="41">
        <f>F5/2</f>
        <v>0.97</v>
      </c>
      <c r="J6" s="34"/>
      <c r="K6" s="76"/>
      <c r="L6" s="77"/>
      <c r="M6" s="72"/>
    </row>
    <row r="7" customHeight="1" spans="1:13">
      <c r="A7" s="52" t="s">
        <v>58</v>
      </c>
      <c r="B7" s="52"/>
      <c r="C7" s="52"/>
      <c r="D7" s="52"/>
      <c r="E7" s="52"/>
      <c r="F7" s="52"/>
      <c r="G7" s="52"/>
      <c r="H7" s="45">
        <f>H4-I7</f>
        <v>5.13</v>
      </c>
      <c r="J7" s="34"/>
      <c r="K7" s="76"/>
      <c r="L7" s="77"/>
      <c r="M7" s="72"/>
    </row>
    <row r="8" customHeight="1" spans="1:13">
      <c r="A8" s="52" t="s">
        <v>17</v>
      </c>
      <c r="B8" s="52"/>
      <c r="C8" s="52"/>
      <c r="D8" s="52" t="s">
        <v>19</v>
      </c>
      <c r="E8" s="52"/>
      <c r="F8" s="52"/>
      <c r="G8" s="53"/>
      <c r="H8" s="41" t="s">
        <v>59</v>
      </c>
      <c r="J8" s="34"/>
      <c r="K8" s="76"/>
      <c r="L8" s="77"/>
      <c r="M8" s="72"/>
    </row>
    <row r="9" customHeight="1" spans="1:13">
      <c r="A9" s="52" t="s">
        <v>21</v>
      </c>
      <c r="B9" s="54">
        <f>EVEN(F6/F2)</f>
        <v>16</v>
      </c>
      <c r="C9" s="53" t="s">
        <v>60</v>
      </c>
      <c r="D9" s="52" t="s">
        <v>21</v>
      </c>
      <c r="E9" s="54">
        <f>EVEN(F6/F3)</f>
        <v>46</v>
      </c>
      <c r="F9" s="53" t="s">
        <v>60</v>
      </c>
      <c r="G9" s="53"/>
      <c r="H9" s="41">
        <f>E9/(F4*2)</f>
        <v>23</v>
      </c>
      <c r="I9" s="41" t="str">
        <f>CONCATENATE(TRUNC((FLOOR($H$9,1)-1)*2*$F$4*$F$3/$F$4/$F$4/$C$5,2),"(↓)",ROUNDUP(((INT($H$9)+1)*2*$F$4-2+10^(-LEN(TEXT(ABS(ROUND($F$6,0)),"0"))))*$F$3/$F$4/$F$4/$C$5,2),"(↑)")</f>
        <v>1.85(↓)1.95(↑)</v>
      </c>
      <c r="J9" s="41" t="str">
        <f>_xlfn.CONCAT(ROUNDUP((FLOOR($H$9,1)*2*$F$4-2+10^(-LEN(TEXT(ABS(ROUND($F$6,0)),"0"))))*$F$3/$F$4/$F$4/$C$5,2),"～",TRUNC(FLOOR($H$9,1)*2*$F$4*$F$3/$F$4/$F$4/$C$5,2))</f>
        <v>1.86～1.94</v>
      </c>
      <c r="K9" s="76"/>
      <c r="L9" s="77"/>
      <c r="M9" s="72"/>
    </row>
    <row r="10" customHeight="1" spans="1:13">
      <c r="A10" s="52" t="s">
        <v>61</v>
      </c>
      <c r="B10" s="55">
        <f>F3/(B9-1)</f>
        <v>3.18666666666667</v>
      </c>
      <c r="C10" s="53" t="s">
        <v>45</v>
      </c>
      <c r="D10" s="52" t="s">
        <v>61</v>
      </c>
      <c r="E10" s="55">
        <f>F2/(E9-1)</f>
        <v>3.28444444444444</v>
      </c>
      <c r="F10" s="53" t="s">
        <v>45</v>
      </c>
      <c r="G10" s="53"/>
      <c r="H10" s="41">
        <f>B9/(F4*2)</f>
        <v>8</v>
      </c>
      <c r="I10" s="41" t="str">
        <f>CONCATENATE(TRUNC((FLOOR($H$10,1)-1)*2*$F$4*$F$2/$F$4/$F$4/$C$5,2),"(↓)",ROUNDUP(((INT($H$10)+1)*2*$F$4-2+10^(-LEN(TEXT(ABS(ROUND($F$6,0)),"0"))))*$F$2/$F$4/$F$4/$C$5,2),"(↑)")</f>
        <v>1.82(↓)2.09(↑)</v>
      </c>
      <c r="J10" s="41" t="str">
        <f>_xlfn.CONCAT(ROUNDUP((FLOOR($H$10,1)*2*$F$4-2+10^(-LEN(TEXT(ABS(ROUND($F$6,0)),"0"))))*$F$2/$F$4/$F$4/$C$5,2),"～",TRUNC(FLOOR($H$10,1)*2*$F$4*$F$2/$F$4/$F$4/$C$5,2))</f>
        <v>1.83～2.08</v>
      </c>
      <c r="K10" s="76" t="s">
        <v>62</v>
      </c>
      <c r="L10" s="77"/>
      <c r="M10" s="72"/>
    </row>
    <row r="11" customHeight="1" spans="1:13">
      <c r="A11" s="52" t="s">
        <v>63</v>
      </c>
      <c r="B11" s="55">
        <f>B10-F5</f>
        <v>1.24666666666667</v>
      </c>
      <c r="C11" s="53" t="s">
        <v>45</v>
      </c>
      <c r="D11" s="52" t="s">
        <v>63</v>
      </c>
      <c r="E11" s="55">
        <f>E10-F5</f>
        <v>1.34444444444444</v>
      </c>
      <c r="F11" s="53" t="s">
        <v>45</v>
      </c>
      <c r="G11" s="53"/>
      <c r="H11" s="34"/>
      <c r="J11" s="34"/>
      <c r="K11" s="76" t="s">
        <v>64</v>
      </c>
      <c r="L11" s="77"/>
      <c r="M11" s="72"/>
    </row>
    <row r="12" customHeight="1" spans="1:14">
      <c r="A12" s="52" t="s">
        <v>65</v>
      </c>
      <c r="B12" s="56">
        <f>B10/2</f>
        <v>1.59333333333333</v>
      </c>
      <c r="C12" s="53" t="s">
        <v>45</v>
      </c>
      <c r="D12" s="52" t="s">
        <v>65</v>
      </c>
      <c r="E12" s="56">
        <f>E10/2</f>
        <v>1.64222222222222</v>
      </c>
      <c r="F12" s="53" t="s">
        <v>45</v>
      </c>
      <c r="G12" s="53"/>
      <c r="H12" s="34"/>
      <c r="J12" s="81" t="s">
        <v>66</v>
      </c>
      <c r="K12" s="82"/>
      <c r="L12" s="82"/>
      <c r="M12" s="82"/>
      <c r="N12" s="83"/>
    </row>
    <row r="13" s="34" customFormat="1" customHeight="1"/>
    <row r="14" s="34" customFormat="1" customHeight="1" spans="1:10">
      <c r="A14" s="57" t="s">
        <v>24</v>
      </c>
      <c r="B14" s="58">
        <f>I2*I3</f>
        <v>9600</v>
      </c>
      <c r="C14" s="59" t="s">
        <v>67</v>
      </c>
      <c r="D14" s="57" t="s">
        <v>24</v>
      </c>
      <c r="E14" s="58">
        <f>I2*I3</f>
        <v>9600</v>
      </c>
      <c r="F14" s="59" t="s">
        <v>67</v>
      </c>
      <c r="H14" s="57" t="s">
        <v>68</v>
      </c>
      <c r="I14" s="84">
        <v>7731.18795</v>
      </c>
      <c r="J14" s="85" t="s">
        <v>69</v>
      </c>
    </row>
    <row r="15" s="34" customFormat="1" customHeight="1" spans="1:10">
      <c r="A15" s="57" t="s">
        <v>25</v>
      </c>
      <c r="B15" s="60">
        <f>E15</f>
        <v>9600</v>
      </c>
      <c r="C15" s="59">
        <f>B15-B20</f>
        <v>9600</v>
      </c>
      <c r="D15" s="57" t="s">
        <v>25</v>
      </c>
      <c r="E15" s="61">
        <f>I2*I3</f>
        <v>9600</v>
      </c>
      <c r="F15" s="59">
        <f>E15-E20</f>
        <v>9600</v>
      </c>
      <c r="H15" s="62" t="s">
        <v>70</v>
      </c>
      <c r="I15" s="86">
        <f>I14/1000*C3/C4/C2/F4/2</f>
        <v>3.41460801125</v>
      </c>
      <c r="J15" s="85">
        <f>I15*2</f>
        <v>6.8292160225</v>
      </c>
    </row>
    <row r="16" s="34" customFormat="1" customHeight="1" spans="1:9">
      <c r="A16" s="57" t="s">
        <v>26</v>
      </c>
      <c r="B16" s="58">
        <f>(1-C15/B14)+C17</f>
        <v>0.0048</v>
      </c>
      <c r="C16" s="58" t="s">
        <v>15</v>
      </c>
      <c r="D16" s="57" t="s">
        <v>26</v>
      </c>
      <c r="E16" s="58">
        <f>(1-F15/E14)+F17</f>
        <v>0.0048</v>
      </c>
      <c r="F16" s="58" t="s">
        <v>15</v>
      </c>
      <c r="H16" s="63"/>
      <c r="I16" s="87"/>
    </row>
    <row r="17" s="34" customFormat="1" customHeight="1" spans="1:9">
      <c r="A17" s="57" t="s">
        <v>27</v>
      </c>
      <c r="B17" s="58">
        <f>F5</f>
        <v>1.94</v>
      </c>
      <c r="C17" s="58">
        <v>0.0048</v>
      </c>
      <c r="D17" s="57" t="s">
        <v>27</v>
      </c>
      <c r="E17" s="58">
        <f>F5</f>
        <v>1.94</v>
      </c>
      <c r="F17" s="58">
        <v>0.0048</v>
      </c>
      <c r="H17" s="64"/>
      <c r="I17" s="88"/>
    </row>
    <row r="18" s="34" customFormat="1" customHeight="1" spans="1:9">
      <c r="A18" s="57" t="s">
        <v>28</v>
      </c>
      <c r="B18" s="59">
        <f>B17-(B17*B16)</f>
        <v>1.930688</v>
      </c>
      <c r="C18" s="61">
        <v>0</v>
      </c>
      <c r="D18" s="57" t="s">
        <v>28</v>
      </c>
      <c r="E18" s="59">
        <f>E17-(E17*E16)</f>
        <v>1.930688</v>
      </c>
      <c r="F18" s="61">
        <v>0</v>
      </c>
      <c r="H18" s="57"/>
      <c r="I18" s="85"/>
    </row>
    <row r="19" s="34" customFormat="1" customHeight="1" spans="1:9">
      <c r="A19" s="57" t="s">
        <v>29</v>
      </c>
      <c r="B19" s="59">
        <f>B10-B18</f>
        <v>1.25597866666667</v>
      </c>
      <c r="C19" s="61">
        <v>0</v>
      </c>
      <c r="D19" s="57" t="s">
        <v>29</v>
      </c>
      <c r="E19" s="59">
        <f>E10-E18</f>
        <v>1.35375644444444</v>
      </c>
      <c r="F19" s="61">
        <v>0</v>
      </c>
      <c r="H19" s="65" t="s">
        <v>71</v>
      </c>
      <c r="I19" s="89">
        <f>C2-(C2*0.04)</f>
        <v>17.28</v>
      </c>
    </row>
    <row r="20" s="34" customFormat="1" customHeight="1" spans="1:9">
      <c r="A20" s="57" t="s">
        <v>72</v>
      </c>
      <c r="B20" s="60">
        <f>C18+C19+C20</f>
        <v>0</v>
      </c>
      <c r="C20" s="61">
        <v>0</v>
      </c>
      <c r="D20" s="57" t="s">
        <v>72</v>
      </c>
      <c r="E20" s="60">
        <f>F18+F19+F20</f>
        <v>0</v>
      </c>
      <c r="F20" s="61">
        <v>0</v>
      </c>
      <c r="H20" s="66"/>
      <c r="I20" s="89">
        <f>C2+(C2*0.04)</f>
        <v>18.72</v>
      </c>
    </row>
    <row r="21" s="34" customFormat="1" customHeight="1"/>
    <row r="22" s="34" customFormat="1" customHeight="1" spans="1:6">
      <c r="A22" s="67" t="s">
        <v>73</v>
      </c>
      <c r="B22" s="68" t="s">
        <v>74</v>
      </c>
      <c r="C22" s="69"/>
      <c r="D22" s="34" t="s">
        <v>30</v>
      </c>
      <c r="E22" s="70">
        <f>E18/E19</f>
        <v>1.42617086546341</v>
      </c>
      <c r="F22" s="70"/>
    </row>
    <row r="23" s="34" customFormat="1" customHeight="1" spans="1:8">
      <c r="A23" s="71">
        <v>0.045</v>
      </c>
      <c r="B23" s="68"/>
      <c r="C23" s="72"/>
      <c r="D23" s="34" t="s">
        <v>31</v>
      </c>
      <c r="E23" s="73" t="str">
        <f>CONCATENATE("R",(ROUND($C$2,2)),"Ω±",(MID($D23,5,1)),"%(R",ROUND(ROUND($C$2,2)*(1-(MID($D23,5,1)*0.01)),2),"-",ROUND($C$2,2),"-",ROUND(ROUND($C$2,2)*(1+(MID($D23,5,1)*0.01)),2),"Ω)")</f>
        <v>R18Ω±4%(R17.28-18-18.72Ω)</v>
      </c>
      <c r="F23" s="73"/>
      <c r="G23" s="73"/>
      <c r="H23" s="74"/>
    </row>
    <row r="24" s="34" customFormat="1" customHeight="1" spans="1:8">
      <c r="A24" s="67" t="s">
        <v>75</v>
      </c>
      <c r="B24" s="68"/>
      <c r="C24" s="72"/>
      <c r="D24" s="34" t="s">
        <v>32</v>
      </c>
      <c r="E24" s="73" t="str">
        <f>CONCATENATE("R",(ROUND($C$2,2)),"Ω±",(MID($D24,5,1)),"%(R",ROUND(ROUND($C$2,2)*(1-(MID($D24,5,1)*0.01)),2),"-",ROUND($C$2,2),"-",ROUND(ROUND($C$2,2)*(1+(MID($D24,5,1)*0.01)),2),"Ω)")</f>
        <v>R18Ω±5%(R17.1-18-18.9Ω)</v>
      </c>
      <c r="F24" s="73"/>
      <c r="G24" s="73"/>
      <c r="H24" s="74"/>
    </row>
    <row r="25" s="34" customFormat="1" customHeight="1" spans="1:3">
      <c r="A25" s="75">
        <f>I2*I3*A23/100</f>
        <v>4.32</v>
      </c>
      <c r="B25" s="68"/>
      <c r="C25" s="72"/>
    </row>
    <row r="26" s="34" customFormat="1" customHeight="1"/>
    <row r="27" s="34" customFormat="1" customHeight="1"/>
    <row r="28" s="34" customFormat="1" customHeight="1"/>
    <row r="29" s="34" customFormat="1" customHeight="1"/>
    <row r="30" s="34" customFormat="1" customHeight="1"/>
    <row r="31" s="34" customFormat="1" customHeight="1"/>
    <row r="32" s="34" customFormat="1" customHeight="1"/>
    <row r="33" s="34" customFormat="1" customHeight="1"/>
    <row r="34" s="34" customFormat="1" customHeight="1"/>
    <row r="35" s="34" customFormat="1" customHeight="1"/>
    <row r="36" s="34" customFormat="1" customHeight="1"/>
    <row r="37" s="34" customFormat="1" customHeight="1"/>
    <row r="38" s="34" customFormat="1" customHeight="1"/>
    <row r="39" s="34" customFormat="1" customHeight="1"/>
    <row r="40" s="34" customFormat="1" customHeight="1"/>
    <row r="41" s="34" customFormat="1" customHeight="1"/>
    <row r="42" s="34" customFormat="1" customHeight="1"/>
    <row r="43" s="34" customFormat="1" customHeight="1"/>
    <row r="44" s="34" customFormat="1" customHeight="1"/>
    <row r="45" s="34" customFormat="1" customHeight="1"/>
    <row r="46" s="34" customFormat="1" customHeight="1"/>
    <row r="47" s="34" customFormat="1" customHeight="1"/>
    <row r="48" s="34" customFormat="1" customHeight="1"/>
    <row r="49" s="34" customFormat="1" customHeight="1"/>
    <row r="50" s="34" customFormat="1" customHeight="1"/>
    <row r="51" s="34" customFormat="1" customHeight="1"/>
    <row r="52" s="34" customFormat="1" customHeight="1"/>
    <row r="53" s="34" customFormat="1" customHeight="1"/>
    <row r="54" s="34" customFormat="1" customHeight="1"/>
    <row r="55" s="34" customFormat="1" customHeight="1"/>
    <row r="56" s="34" customFormat="1" customHeight="1"/>
    <row r="57" s="34" customFormat="1" customHeight="1"/>
    <row r="58" s="34" customFormat="1" customHeight="1"/>
    <row r="59" s="34" customFormat="1" customHeight="1"/>
    <row r="60" s="34" customFormat="1" customHeight="1"/>
  </sheetData>
  <mergeCells count="22">
    <mergeCell ref="A1:D1"/>
    <mergeCell ref="E1:G1"/>
    <mergeCell ref="K1:M1"/>
    <mergeCell ref="K2:M2"/>
    <mergeCell ref="K3:M3"/>
    <mergeCell ref="K4:M4"/>
    <mergeCell ref="K5:M5"/>
    <mergeCell ref="K6:M6"/>
    <mergeCell ref="A7:G7"/>
    <mergeCell ref="K7:M7"/>
    <mergeCell ref="A8:C8"/>
    <mergeCell ref="D8:F8"/>
    <mergeCell ref="K8:M8"/>
    <mergeCell ref="K9:M9"/>
    <mergeCell ref="K10:M10"/>
    <mergeCell ref="K11:M11"/>
    <mergeCell ref="E23:H23"/>
    <mergeCell ref="E24:H24"/>
    <mergeCell ref="B22:B25"/>
    <mergeCell ref="H15:H17"/>
    <mergeCell ref="H19:H20"/>
    <mergeCell ref="I15:I17"/>
  </mergeCells>
  <pageMargins left="0.75" right="0.75" top="1" bottom="1" header="0.511111111111111" footer="0.511111111111111"/>
  <pageSetup paperSize="9" orientation="portrait" horizontalDpi="600" verticalDpi="600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95"/>
  <sheetViews>
    <sheetView showFormulas="1" zoomScale="55" zoomScaleNormal="55" workbookViewId="0">
      <selection activeCell="B73" sqref="B73"/>
    </sheetView>
  </sheetViews>
  <sheetFormatPr defaultColWidth="9" defaultRowHeight="13.5"/>
  <cols>
    <col min="1" max="1" width="22.5" style="1" customWidth="1"/>
    <col min="2" max="2" width="24.625" style="1" customWidth="1"/>
    <col min="3" max="3" width="19.75" style="1" customWidth="1"/>
    <col min="4" max="4" width="22.2083333333333" style="1" customWidth="1"/>
    <col min="5" max="5" width="23.5" style="1" customWidth="1"/>
    <col min="6" max="6" width="22.2833333333333" style="1" customWidth="1"/>
    <col min="7" max="7" width="19.625" style="1" customWidth="1"/>
    <col min="8" max="8" width="25.375" style="1" customWidth="1"/>
    <col min="9" max="9" width="20.125" style="1" customWidth="1"/>
    <col min="10" max="10" width="24.3333333333333" style="1" customWidth="1"/>
    <col min="11" max="11" width="19.4083333333333" style="1" customWidth="1"/>
    <col min="12" max="12" width="23.0833333333333" style="1" customWidth="1"/>
    <col min="13" max="16384" width="9" style="1"/>
  </cols>
  <sheetData>
    <row r="1" s="1" customFormat="1" spans="1:6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s="1" customFormat="1" spans="1:6">
      <c r="A2" s="1">
        <v>6300</v>
      </c>
      <c r="B2" s="1">
        <v>220</v>
      </c>
      <c r="C2" s="1">
        <f>A2/B2</f>
        <v>28.6363636363636</v>
      </c>
      <c r="D2" s="1">
        <f>B2*B2/A2</f>
        <v>7.68253968253968</v>
      </c>
      <c r="E2" s="1" t="str">
        <f>CONCATENATE("R",ROUND(ROUND($D$2,2)*(1-(MID(E$1,6,1)*0.01)),2),"-",ROUND($D$2,2),"-",ROUND(ROUND($D$2,2)*(1+(MID(E$1,6,1)*0.01)),2),"Ω")</f>
        <v>R7.37-7.68-7.99Ω</v>
      </c>
      <c r="F2" s="1" t="str">
        <f>CONCATENATE("R",ROUND(ROUND($D$2,2)*(1-(MID(F$1,6,1)*0.01)),2),"-",ROUND($D$2,2),"-",ROUND(ROUND($D$2,2)*(1+(MID(F$1,6,1)*0.01)),2),"Ω")</f>
        <v>R7.3-7.68-8.06Ω</v>
      </c>
    </row>
    <row r="5" s="1" customFormat="1" spans="1:4">
      <c r="A5" s="1" t="s">
        <v>82</v>
      </c>
      <c r="B5" s="3" t="s">
        <v>83</v>
      </c>
      <c r="D5" s="3" t="s">
        <v>84</v>
      </c>
    </row>
    <row r="6" s="1" customFormat="1" spans="1:4">
      <c r="A6" s="1" t="s">
        <v>85</v>
      </c>
      <c r="B6" s="1">
        <f>B8/$B$2</f>
        <v>15.9090909090909</v>
      </c>
      <c r="D6" s="1">
        <f>D8/$B$2</f>
        <v>12.7272727272727</v>
      </c>
    </row>
    <row r="7" s="1" customFormat="1" spans="1:4">
      <c r="A7" s="1" t="s">
        <v>42</v>
      </c>
      <c r="B7" s="1">
        <f>$B$2*$B$2/B8</f>
        <v>13.8285714285714</v>
      </c>
      <c r="D7" s="1">
        <f>$B$2*$B$2/D8</f>
        <v>17.2857142857143</v>
      </c>
    </row>
    <row r="8" s="1" customFormat="1" spans="1:4">
      <c r="A8" s="1" t="s">
        <v>75</v>
      </c>
      <c r="B8" s="4">
        <v>3500</v>
      </c>
      <c r="D8" s="1">
        <f>A2-B8</f>
        <v>2800</v>
      </c>
    </row>
    <row r="12" s="1" customFormat="1" ht="14.25"/>
    <row r="13" s="1" customFormat="1" ht="32.25" spans="1:14">
      <c r="A13" s="5" t="s">
        <v>86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25"/>
      <c r="N13" s="26"/>
    </row>
    <row r="14" s="1" customFormat="1" spans="1:14">
      <c r="A14" s="7" t="s">
        <v>77</v>
      </c>
      <c r="B14" s="8" t="s">
        <v>75</v>
      </c>
      <c r="C14" s="8" t="s">
        <v>46</v>
      </c>
      <c r="D14" s="8" t="s">
        <v>42</v>
      </c>
      <c r="E14" s="8" t="s">
        <v>51</v>
      </c>
      <c r="F14" s="8" t="s">
        <v>87</v>
      </c>
      <c r="G14" s="8" t="s">
        <v>49</v>
      </c>
      <c r="H14" s="8" t="s">
        <v>85</v>
      </c>
      <c r="I14" s="8" t="s">
        <v>88</v>
      </c>
      <c r="J14" s="8" t="s">
        <v>89</v>
      </c>
      <c r="K14" s="8" t="s">
        <v>90</v>
      </c>
      <c r="L14" s="8" t="s">
        <v>91</v>
      </c>
      <c r="M14" s="8"/>
      <c r="N14" s="27"/>
    </row>
    <row r="15" s="1" customFormat="1" spans="1:14">
      <c r="A15" s="7">
        <v>220</v>
      </c>
      <c r="B15" s="8">
        <f>B8</f>
        <v>3500</v>
      </c>
      <c r="C15" s="8">
        <v>0.78</v>
      </c>
      <c r="D15" s="8">
        <f>A15*A15/B15</f>
        <v>13.8285714285714</v>
      </c>
      <c r="E15" s="8">
        <v>3</v>
      </c>
      <c r="F15" s="8">
        <f>D15*E15</f>
        <v>41.4857142857143</v>
      </c>
      <c r="G15" s="8">
        <v>0.1</v>
      </c>
      <c r="H15" s="8">
        <f>B15/A15</f>
        <v>15.9090909090909</v>
      </c>
      <c r="I15" s="8">
        <f>H15/E15</f>
        <v>5.3030303030303</v>
      </c>
      <c r="J15" s="28">
        <v>75438.9008942353</v>
      </c>
      <c r="K15" s="8">
        <f>J15/E15/1000*C15/G15/F15</f>
        <v>4.72792009736599</v>
      </c>
      <c r="L15" s="13">
        <v>590094.254201711</v>
      </c>
      <c r="M15" s="8"/>
      <c r="N15" s="27"/>
    </row>
    <row r="16" s="1" customFormat="1" spans="1:14">
      <c r="A16" s="7"/>
      <c r="B16" s="8"/>
      <c r="C16" s="8"/>
      <c r="D16" s="8">
        <f>D15/0.95</f>
        <v>14.5563909774436</v>
      </c>
      <c r="E16" s="8"/>
      <c r="F16" s="8"/>
      <c r="G16" s="8"/>
      <c r="H16" s="8"/>
      <c r="I16" s="8"/>
      <c r="J16" s="8"/>
      <c r="K16" s="8"/>
      <c r="L16" s="8"/>
      <c r="M16" s="8"/>
      <c r="N16" s="27"/>
    </row>
    <row r="17" s="1" customFormat="1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27"/>
    </row>
    <row r="18" s="1" customFormat="1" spans="1:14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27"/>
    </row>
    <row r="19" s="1" customFormat="1" spans="1:14">
      <c r="A19" s="7" t="s">
        <v>1</v>
      </c>
      <c r="B19" s="9" t="s">
        <v>92</v>
      </c>
      <c r="C19" s="8"/>
      <c r="D19" s="9" t="s">
        <v>93</v>
      </c>
      <c r="E19" s="8"/>
      <c r="F19" s="10" t="s">
        <v>94</v>
      </c>
      <c r="G19" s="8"/>
      <c r="H19" s="10" t="s">
        <v>95</v>
      </c>
      <c r="I19" s="8"/>
      <c r="J19" s="19" t="s">
        <v>96</v>
      </c>
      <c r="K19" s="8"/>
      <c r="L19" s="8"/>
      <c r="M19" s="8"/>
      <c r="N19" s="27"/>
    </row>
    <row r="20" s="1" customFormat="1" spans="1:14">
      <c r="A20" s="7" t="s">
        <v>97</v>
      </c>
      <c r="B20" s="127" t="s">
        <v>98</v>
      </c>
      <c r="C20" s="8"/>
      <c r="D20" s="127" t="s">
        <v>98</v>
      </c>
      <c r="E20" s="8"/>
      <c r="F20" s="11">
        <v>11641.3255325457</v>
      </c>
      <c r="G20" s="8"/>
      <c r="H20" s="127" t="s">
        <v>99</v>
      </c>
      <c r="I20" s="8"/>
      <c r="J20" s="20">
        <v>11695.8156951084</v>
      </c>
      <c r="K20" s="8"/>
      <c r="L20" s="23">
        <f t="shared" ref="L20:L24" si="0">B20+D20+F20+H20+J20</f>
        <v>107440.656694611</v>
      </c>
      <c r="M20" s="8"/>
      <c r="N20" s="27"/>
    </row>
    <row r="21" s="1" customFormat="1" spans="1:14">
      <c r="A21" s="7" t="s">
        <v>100</v>
      </c>
      <c r="B21" s="4">
        <v>5.389</v>
      </c>
      <c r="C21" s="12" t="s">
        <v>101</v>
      </c>
      <c r="D21" s="4">
        <v>5.389</v>
      </c>
      <c r="E21" s="12" t="s">
        <v>102</v>
      </c>
      <c r="F21" s="4">
        <v>4.445</v>
      </c>
      <c r="G21" s="12" t="s">
        <v>103</v>
      </c>
      <c r="H21" s="4">
        <v>4.445</v>
      </c>
      <c r="I21" s="12" t="s">
        <v>104</v>
      </c>
      <c r="J21" s="21">
        <f>J20/1000/$E$15*C15/$G$15/J22</f>
        <v>3.53480656979604</v>
      </c>
      <c r="K21" s="12" t="s">
        <v>101</v>
      </c>
      <c r="L21" s="29"/>
      <c r="M21" s="8"/>
      <c r="N21" s="27"/>
    </row>
    <row r="22" s="1" customFormat="1" ht="15" spans="1:14">
      <c r="A22" s="7" t="s">
        <v>105</v>
      </c>
      <c r="B22" s="8">
        <f>B20/1000/$E$15*$C$15/B21/$G$15</f>
        <v>16.2279946804816</v>
      </c>
      <c r="C22" s="12">
        <f>B22/($D$15/$D$16)</f>
        <v>17.0820996636648</v>
      </c>
      <c r="D22" s="8">
        <f>D20/1000/$E$15*$C$15/D21/$G$15</f>
        <v>16.2279946804816</v>
      </c>
      <c r="E22" s="12">
        <f>D22/($D$15/$D$16)</f>
        <v>17.0820996636648</v>
      </c>
      <c r="F22" s="8">
        <f>F20/1000/$E$15*$C$15/F21/$G$15</f>
        <v>6.80932427100536</v>
      </c>
      <c r="G22" s="12">
        <f>F22/($D$15/$D$16)</f>
        <v>7.16770975895301</v>
      </c>
      <c r="H22" s="8">
        <f>H20/1000/$E$15*$C$15/H21/$G$15</f>
        <v>9.84562734485013</v>
      </c>
      <c r="I22" s="12">
        <f>H22/($D$15/$D$16)</f>
        <v>10.363818257737</v>
      </c>
      <c r="J22" s="18">
        <f>F15-B22-F22-H22</f>
        <v>8.60276798937726</v>
      </c>
      <c r="K22" s="12">
        <f>J22/($D$15/$D$16)</f>
        <v>9.05554525197608</v>
      </c>
      <c r="L22" s="29"/>
      <c r="M22" s="8"/>
      <c r="N22" s="27"/>
    </row>
    <row r="23" s="1" customFormat="1" spans="1:14">
      <c r="A23" s="7" t="s">
        <v>106</v>
      </c>
      <c r="B23" s="8">
        <f>$I$15*$I$15*B22*$E$15</f>
        <v>1369.09734735467</v>
      </c>
      <c r="C23" s="8"/>
      <c r="D23" s="8">
        <f>$I$15*$I$15*D22*$E$15</f>
        <v>1369.09734735468</v>
      </c>
      <c r="E23" s="8"/>
      <c r="F23" s="8">
        <f>$I$15*$I$15*F22*$E$15</f>
        <v>574.478115150245</v>
      </c>
      <c r="G23" s="8"/>
      <c r="H23" s="8">
        <f>$I$15*$I$15*H22*$E$15</f>
        <v>830.640048033154</v>
      </c>
      <c r="I23" s="8"/>
      <c r="J23" s="18">
        <f>$I$15*$I$15*J22*$E$15</f>
        <v>725.784489461924</v>
      </c>
      <c r="K23" s="8"/>
      <c r="L23" s="23">
        <f t="shared" si="0"/>
        <v>4869.09734735468</v>
      </c>
      <c r="M23" s="8"/>
      <c r="N23" s="27"/>
    </row>
    <row r="24" s="1" customFormat="1" spans="1:14">
      <c r="A24" s="7" t="s">
        <v>107</v>
      </c>
      <c r="B24" s="13">
        <v>224216.852407622</v>
      </c>
      <c r="C24" s="8"/>
      <c r="D24" s="13">
        <v>224216.852407622</v>
      </c>
      <c r="E24" s="8"/>
      <c r="F24" s="128" t="s">
        <v>108</v>
      </c>
      <c r="G24" s="8"/>
      <c r="H24" s="128" t="s">
        <v>109</v>
      </c>
      <c r="I24" s="8"/>
      <c r="J24" s="22">
        <v>114522.269445424</v>
      </c>
      <c r="K24" s="8"/>
      <c r="L24" s="23">
        <f t="shared" si="0"/>
        <v>814311.106609328</v>
      </c>
      <c r="M24" s="30"/>
      <c r="N24" s="27"/>
    </row>
    <row r="25" s="1" customFormat="1" spans="1:14">
      <c r="A25" s="7" t="s">
        <v>110</v>
      </c>
      <c r="B25" s="8">
        <f t="shared" ref="B25:F25" si="1">B23/B24*100</f>
        <v>0.610613043869549</v>
      </c>
      <c r="C25" s="8"/>
      <c r="D25" s="8">
        <f t="shared" si="1"/>
        <v>0.61061304386955</v>
      </c>
      <c r="E25" s="8"/>
      <c r="F25" s="8">
        <f t="shared" si="1"/>
        <v>0.50163004796544</v>
      </c>
      <c r="G25" s="8"/>
      <c r="H25" s="8">
        <f>H23/H24*100</f>
        <v>0.607047189110283</v>
      </c>
      <c r="I25" s="8"/>
      <c r="J25" s="8">
        <f>J23/J24*100</f>
        <v>0.633749656705676</v>
      </c>
      <c r="K25" s="29"/>
      <c r="L25" s="8"/>
      <c r="M25" s="8"/>
      <c r="N25" s="27"/>
    </row>
    <row r="26" s="1" customFormat="1" ht="14.25" spans="1:14">
      <c r="A26" s="14" t="s">
        <v>111</v>
      </c>
      <c r="B26" s="15"/>
      <c r="C26" s="15">
        <f t="shared" ref="C26:G26" si="2">B25-D25</f>
        <v>-9.99200722162641e-16</v>
      </c>
      <c r="D26" s="15"/>
      <c r="E26" s="15">
        <f t="shared" si="2"/>
        <v>0.10898299590411</v>
      </c>
      <c r="F26" s="15"/>
      <c r="G26" s="15">
        <f t="shared" si="2"/>
        <v>-0.105417141144843</v>
      </c>
      <c r="H26" s="15"/>
      <c r="I26" s="15">
        <f>H25-J25</f>
        <v>-0.026702467595393</v>
      </c>
      <c r="J26" s="15"/>
      <c r="K26" s="15"/>
      <c r="L26" s="15"/>
      <c r="M26" s="15"/>
      <c r="N26" s="31"/>
    </row>
    <row r="27" s="1" customFormat="1" ht="14.25"/>
    <row r="29" s="1" customFormat="1" ht="32.25" spans="1:1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32.25" spans="1:12">
      <c r="A30" s="5" t="s">
        <v>112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32"/>
    </row>
    <row r="31" spans="1:12">
      <c r="A31" s="7" t="s">
        <v>77</v>
      </c>
      <c r="B31" s="8" t="s">
        <v>75</v>
      </c>
      <c r="C31" s="8" t="s">
        <v>46</v>
      </c>
      <c r="D31" s="8" t="s">
        <v>42</v>
      </c>
      <c r="E31" s="8" t="s">
        <v>51</v>
      </c>
      <c r="F31" s="8" t="s">
        <v>87</v>
      </c>
      <c r="G31" s="8" t="s">
        <v>49</v>
      </c>
      <c r="H31" s="8" t="s">
        <v>85</v>
      </c>
      <c r="I31" s="8" t="s">
        <v>88</v>
      </c>
      <c r="J31" s="8" t="s">
        <v>89</v>
      </c>
      <c r="K31" s="8" t="s">
        <v>90</v>
      </c>
      <c r="L31" s="27" t="s">
        <v>91</v>
      </c>
    </row>
    <row r="32" s="1" customFormat="1" spans="1:12">
      <c r="A32" s="7">
        <v>220</v>
      </c>
      <c r="B32" s="8">
        <f>B8</f>
        <v>3500</v>
      </c>
      <c r="C32" s="8">
        <v>0.78</v>
      </c>
      <c r="D32" s="8">
        <f>A32*A32/B32</f>
        <v>13.8285714285714</v>
      </c>
      <c r="E32" s="8">
        <v>3</v>
      </c>
      <c r="F32" s="8">
        <f>D32*E32</f>
        <v>41.4857142857143</v>
      </c>
      <c r="G32" s="8">
        <v>0.1</v>
      </c>
      <c r="H32" s="8">
        <f>B32/A32</f>
        <v>15.9090909090909</v>
      </c>
      <c r="I32" s="8">
        <f>H32/E32</f>
        <v>5.3030303030303</v>
      </c>
      <c r="J32" s="28">
        <v>73946.1480387502</v>
      </c>
      <c r="K32" s="8">
        <f>J32/E32/1000*C32/G32/F32</f>
        <v>4.63436602722195</v>
      </c>
      <c r="L32" s="33">
        <v>590094.254201711</v>
      </c>
    </row>
    <row r="33" s="1" customFormat="1" spans="1:12">
      <c r="A33" s="7"/>
      <c r="B33" s="8"/>
      <c r="C33" s="8"/>
      <c r="D33" s="8">
        <f>D32/0.95</f>
        <v>14.5563909774436</v>
      </c>
      <c r="E33" s="8"/>
      <c r="F33" s="8"/>
      <c r="G33" s="8"/>
      <c r="H33" s="8"/>
      <c r="I33" s="8"/>
      <c r="J33" s="8"/>
      <c r="K33" s="8"/>
      <c r="L33" s="27"/>
    </row>
    <row r="34" s="1" customFormat="1" spans="1:12">
      <c r="A34" s="7"/>
      <c r="B34" s="8"/>
      <c r="C34" s="8"/>
      <c r="D34" s="8"/>
      <c r="E34" s="8"/>
      <c r="F34" s="8"/>
      <c r="G34" s="8"/>
      <c r="H34" s="17"/>
      <c r="I34" s="8"/>
      <c r="J34" s="8"/>
      <c r="K34" s="8"/>
      <c r="L34" s="27"/>
    </row>
    <row r="35" s="1" customFormat="1" spans="1:12">
      <c r="A35" s="7"/>
      <c r="B35" s="8"/>
      <c r="C35" s="8"/>
      <c r="D35" s="8"/>
      <c r="E35" s="8"/>
      <c r="F35" s="8"/>
      <c r="G35" s="8"/>
      <c r="H35" s="18"/>
      <c r="I35" s="8"/>
      <c r="J35" s="8"/>
      <c r="K35" s="8"/>
      <c r="L35" s="27"/>
    </row>
    <row r="36" s="1" customFormat="1" spans="1:12">
      <c r="A36" s="7" t="s">
        <v>1</v>
      </c>
      <c r="B36" s="9" t="s">
        <v>113</v>
      </c>
      <c r="C36" s="8"/>
      <c r="D36" s="10" t="s">
        <v>94</v>
      </c>
      <c r="E36" s="8"/>
      <c r="F36" s="10" t="s">
        <v>95</v>
      </c>
      <c r="G36" s="8"/>
      <c r="H36" s="19" t="s">
        <v>96</v>
      </c>
      <c r="I36" s="8"/>
      <c r="J36" s="8"/>
      <c r="K36" s="8"/>
      <c r="L36" s="27"/>
    </row>
    <row r="37" s="1" customFormat="1" spans="1:12">
      <c r="A37" s="7" t="s">
        <v>97</v>
      </c>
      <c r="B37" s="11">
        <v>32136.2356231359</v>
      </c>
      <c r="C37" s="8">
        <f>B37/4</f>
        <v>8034.05890578398</v>
      </c>
      <c r="D37" s="127" t="s">
        <v>114</v>
      </c>
      <c r="E37" s="8">
        <f>D37/3</f>
        <v>4428.12066553337</v>
      </c>
      <c r="F37" s="11">
        <v>16829.7347239061</v>
      </c>
      <c r="G37" s="8"/>
      <c r="H37" s="20">
        <v>11695.8156951082</v>
      </c>
      <c r="I37" s="8"/>
      <c r="J37" s="23">
        <f t="shared" ref="J37:J41" si="3">B37+D37+F37+H37</f>
        <v>73946.1480387503</v>
      </c>
      <c r="K37" s="8"/>
      <c r="L37" s="27"/>
    </row>
    <row r="38" s="1" customFormat="1" spans="1:12">
      <c r="A38" s="7" t="s">
        <v>100</v>
      </c>
      <c r="B38" s="4">
        <v>5.159</v>
      </c>
      <c r="C38" s="12">
        <f>B37/1000/$E$32*$C$32/$G$32/C39</f>
        <v>4.90105</v>
      </c>
      <c r="D38" s="4">
        <f>D37/1000/$E$32*$C$32/G32/D39</f>
        <v>4.32134543454169</v>
      </c>
      <c r="E38" s="12">
        <f>D37/1000/$E$32*$C$32/$G$32/E39</f>
        <v>4.10527816281461</v>
      </c>
      <c r="F38" s="4">
        <v>4.582</v>
      </c>
      <c r="G38" s="12">
        <f>F37/1000/$E$32*$C$32/$G$32/G39</f>
        <v>4.3529</v>
      </c>
      <c r="H38" s="21">
        <f>H37/1000/$E$32*C32/$G$32/H39</f>
        <v>3.92510347335896</v>
      </c>
      <c r="I38" s="12">
        <f>B37/1000/$E$32*$C$32/$G$32/C39</f>
        <v>4.90105</v>
      </c>
      <c r="J38" s="29"/>
      <c r="K38" s="8"/>
      <c r="L38" s="27"/>
    </row>
    <row r="39" s="1" customFormat="1" ht="15" spans="1:12">
      <c r="A39" s="7" t="s">
        <v>105</v>
      </c>
      <c r="B39" s="8">
        <f>B37/1000/$E$32*$C$32/B38/$G$32</f>
        <v>16.195815588322</v>
      </c>
      <c r="C39" s="12">
        <f>B39/($D$32/$D$33)</f>
        <v>17.0482269350758</v>
      </c>
      <c r="D39" s="8">
        <f>D40/I32/I32/E32</f>
        <v>7.99272858750839</v>
      </c>
      <c r="E39" s="12">
        <f>D39/($D$32/$D$33)</f>
        <v>8.41339851316673</v>
      </c>
      <c r="F39" s="8">
        <f>F37/1000/$E$32*$C$32/F38/$G$32</f>
        <v>9.54982764778609</v>
      </c>
      <c r="G39" s="12">
        <f>F39/($D$32/$D$33)</f>
        <v>10.0524501555643</v>
      </c>
      <c r="H39" s="18">
        <f>F32-B39-D39-F39</f>
        <v>7.74734246209777</v>
      </c>
      <c r="I39" s="12">
        <f>H39/($D$32/$D$33)</f>
        <v>8.15509732852397</v>
      </c>
      <c r="J39" s="29"/>
      <c r="K39" s="8"/>
      <c r="L39" s="27"/>
    </row>
    <row r="40" s="1" customFormat="1" spans="1:12">
      <c r="A40" s="7" t="s">
        <v>106</v>
      </c>
      <c r="B40" s="8">
        <f>$I$32*$I$32*B39*$E$32</f>
        <v>1366.38251347758</v>
      </c>
      <c r="C40" s="8"/>
      <c r="D40" s="8">
        <f>D41/100*D42</f>
        <v>674.317666645853</v>
      </c>
      <c r="E40" s="8"/>
      <c r="F40" s="8">
        <f>$I$32*$I$32*F39*$E$32</f>
        <v>805.684495078372</v>
      </c>
      <c r="G40" s="8"/>
      <c r="H40" s="18">
        <f>$I$32*$I$32*H39*$E$32</f>
        <v>653.615324798194</v>
      </c>
      <c r="I40" s="8"/>
      <c r="J40" s="23">
        <f t="shared" si="3"/>
        <v>3500</v>
      </c>
      <c r="K40" s="8"/>
      <c r="L40" s="27"/>
    </row>
    <row r="41" s="1" customFormat="1" spans="1:12">
      <c r="A41" s="7" t="s">
        <v>107</v>
      </c>
      <c r="B41" s="13">
        <v>224216.852407622</v>
      </c>
      <c r="C41" s="8"/>
      <c r="D41" s="128" t="s">
        <v>108</v>
      </c>
      <c r="E41" s="8"/>
      <c r="F41" s="128" t="s">
        <v>109</v>
      </c>
      <c r="G41" s="8"/>
      <c r="H41" s="22">
        <v>114522.269445424</v>
      </c>
      <c r="I41" s="8"/>
      <c r="J41" s="23">
        <f t="shared" si="3"/>
        <v>590094.254201706</v>
      </c>
      <c r="K41" s="30"/>
      <c r="L41" s="27"/>
    </row>
    <row r="42" s="1" customFormat="1" spans="1:12">
      <c r="A42" s="7" t="s">
        <v>110</v>
      </c>
      <c r="B42" s="8">
        <f>B40/B41*100</f>
        <v>0.60940223663185</v>
      </c>
      <c r="C42" s="8"/>
      <c r="D42" s="8">
        <f>F42</f>
        <v>0.588809207074905</v>
      </c>
      <c r="E42" s="8"/>
      <c r="F42" s="8">
        <f>F40/F41*100</f>
        <v>0.588809207074905</v>
      </c>
      <c r="G42" s="8"/>
      <c r="H42" s="8">
        <f>H40/H41*100</f>
        <v>0.57073207504823</v>
      </c>
      <c r="I42" s="29"/>
      <c r="J42" s="8"/>
      <c r="K42" s="8"/>
      <c r="L42" s="27"/>
    </row>
    <row r="43" s="1" customFormat="1" ht="14.25" spans="1:12">
      <c r="A43" s="14" t="s">
        <v>111</v>
      </c>
      <c r="B43" s="15"/>
      <c r="C43" s="15">
        <f t="shared" ref="C43:G43" si="4">B42-D42</f>
        <v>0.0205930295569441</v>
      </c>
      <c r="D43" s="15"/>
      <c r="E43" s="15">
        <f t="shared" si="4"/>
        <v>0</v>
      </c>
      <c r="F43" s="15"/>
      <c r="G43" s="15">
        <f t="shared" si="4"/>
        <v>0.0180771320266753</v>
      </c>
      <c r="H43" s="15"/>
      <c r="I43" s="15"/>
      <c r="J43" s="15"/>
      <c r="K43" s="15"/>
      <c r="L43" s="31"/>
    </row>
    <row r="44" s="1" customFormat="1" ht="14.25" hidden="1" spans="1:8">
      <c r="A44" s="13">
        <v>59899.1336722969</v>
      </c>
      <c r="B44" s="1">
        <f t="shared" ref="B44:B46" si="5">A44*$D$42/100</f>
        <v>352.691614020589</v>
      </c>
      <c r="C44" s="12">
        <f t="shared" ref="C44:C46" si="6">D44/$E$32/1000*$C$32/$G$32/(B44/$E$32/$I$32/$I$32/0.95)</f>
        <v>4.29157816540571</v>
      </c>
      <c r="D44" s="11">
        <v>7263.496556377</v>
      </c>
      <c r="E44" s="1">
        <f t="shared" ref="E44:E46" si="7">D44/$E$37*$D$38</f>
        <v>7.08835193381713</v>
      </c>
      <c r="F44" s="1">
        <f t="shared" ref="F44:F46" si="8">D44/$E$32/1000*$C$32/E44/$G$32</f>
        <v>2.6642428625028</v>
      </c>
      <c r="G44" s="1">
        <f t="shared" ref="G44:G46" si="9">F44*$I$32*$I$32*$E$32</f>
        <v>224.772555548618</v>
      </c>
      <c r="H44" s="1">
        <f t="shared" ref="H44:H46" si="10">G44/A44*100</f>
        <v>0.375251763703845</v>
      </c>
    </row>
    <row r="45" hidden="1" spans="1:8">
      <c r="A45" s="13">
        <v>38048.9365840498</v>
      </c>
      <c r="B45" s="1">
        <f t="shared" si="5"/>
        <v>224.035641800977</v>
      </c>
      <c r="C45" s="12">
        <f t="shared" si="6"/>
        <v>3.88645228547849</v>
      </c>
      <c r="D45" s="11">
        <v>4178.3424414376</v>
      </c>
      <c r="E45" s="1">
        <f t="shared" si="7"/>
        <v>4.07759011035968</v>
      </c>
      <c r="F45" s="1">
        <f t="shared" si="8"/>
        <v>2.6642428625028</v>
      </c>
      <c r="G45" s="1">
        <f t="shared" si="9"/>
        <v>224.772555548618</v>
      </c>
      <c r="H45" s="1">
        <f t="shared" si="10"/>
        <v>0.590745959619914</v>
      </c>
    </row>
    <row r="46" customFormat="1" ht="14.25" hidden="1" spans="1:8">
      <c r="A46" s="13">
        <v>16574.1991890887</v>
      </c>
      <c r="B46" s="1">
        <f t="shared" si="5"/>
        <v>97.5904108242886</v>
      </c>
      <c r="C46" s="12">
        <f t="shared" si="6"/>
        <v>3.9343427953605</v>
      </c>
      <c r="D46" s="11">
        <v>1842.5229987855</v>
      </c>
      <c r="E46" s="1">
        <f t="shared" si="7"/>
        <v>1.79809425944827</v>
      </c>
      <c r="F46" s="1">
        <f t="shared" si="8"/>
        <v>2.6642428625028</v>
      </c>
      <c r="G46" s="1">
        <f t="shared" si="9"/>
        <v>224.772555548618</v>
      </c>
      <c r="H46" s="1">
        <f t="shared" si="10"/>
        <v>1.35615937146811</v>
      </c>
    </row>
    <row r="47" customFormat="1" ht="14.25" hidden="1" spans="1:7">
      <c r="A47" s="23">
        <f t="shared" ref="A47:G47" si="11">SUM(A44:A46)</f>
        <v>114522.269445435</v>
      </c>
      <c r="B47" s="23">
        <f t="shared" si="11"/>
        <v>674.317666645855</v>
      </c>
      <c r="C47" s="23"/>
      <c r="D47" s="23">
        <f t="shared" si="11"/>
        <v>13284.3619966001</v>
      </c>
      <c r="F47" s="23">
        <f t="shared" si="11"/>
        <v>7.99272858750839</v>
      </c>
      <c r="G47" s="23">
        <f t="shared" si="11"/>
        <v>674.317666645853</v>
      </c>
    </row>
    <row r="48" customFormat="1" ht="14.25" hidden="1"/>
    <row r="49" hidden="1"/>
    <row r="50" s="2" customFormat="1" hidden="1" spans="1:12">
      <c r="A50" s="1" t="s">
        <v>115</v>
      </c>
      <c r="B50" s="11">
        <v>7946.0253645789</v>
      </c>
      <c r="C50" s="12">
        <f t="shared" ref="C50:C53" si="12">B50/$C$37*$C$38</f>
        <v>4.84734653675896</v>
      </c>
      <c r="D50" s="1" t="s">
        <v>116</v>
      </c>
      <c r="E50" s="11">
        <v>59899.133672295</v>
      </c>
      <c r="F50" s="1">
        <f t="shared" ref="F50:F52" si="13">E50*$H$42/100</f>
        <v>341.863568543802</v>
      </c>
      <c r="G50" s="12">
        <f t="shared" ref="G50:G52" si="14">H50/$E$32/1000*$C$32/$G$32/(F50/$E$32/$I$32/$I$32/0.95)</f>
        <v>3.66154777226293</v>
      </c>
      <c r="H50" s="24">
        <v>6006.9096650873</v>
      </c>
      <c r="I50" s="1"/>
      <c r="J50" s="1"/>
      <c r="K50" s="1"/>
      <c r="L50" s="1"/>
    </row>
    <row r="51" s="2" customFormat="1" hidden="1" spans="1:12">
      <c r="A51" s="1"/>
      <c r="B51" s="11">
        <v>8121.9969422022</v>
      </c>
      <c r="C51" s="12">
        <f t="shared" si="12"/>
        <v>4.95469520206309</v>
      </c>
      <c r="D51" s="1"/>
      <c r="E51" s="11">
        <v>38048.9365840453</v>
      </c>
      <c r="F51" s="1">
        <f t="shared" si="13"/>
        <v>217.157485299907</v>
      </c>
      <c r="G51" s="12">
        <f t="shared" si="14"/>
        <v>3.75919278548864</v>
      </c>
      <c r="H51" s="24">
        <v>3917.4456223508</v>
      </c>
      <c r="I51" s="1"/>
      <c r="J51" s="1"/>
      <c r="K51" s="1"/>
      <c r="L51" s="1"/>
    </row>
    <row r="52" s="2" customFormat="1" hidden="1" spans="1:12">
      <c r="A52" s="1"/>
      <c r="B52" s="11">
        <v>8121.8252607328</v>
      </c>
      <c r="C52" s="12">
        <f t="shared" si="12"/>
        <v>4.95459047051015</v>
      </c>
      <c r="D52" s="1"/>
      <c r="E52" s="11">
        <v>16574.1991890873</v>
      </c>
      <c r="F52" s="1">
        <f t="shared" si="13"/>
        <v>94.5942709545049</v>
      </c>
      <c r="G52" s="12">
        <f t="shared" si="14"/>
        <v>3.90241130807565</v>
      </c>
      <c r="H52" s="24">
        <v>1771.46040767</v>
      </c>
      <c r="I52" s="1"/>
      <c r="J52" s="1"/>
      <c r="K52" s="1"/>
      <c r="L52" s="1"/>
    </row>
    <row r="53" s="2" customFormat="1" hidden="1" spans="1:12">
      <c r="A53" s="1"/>
      <c r="B53" s="11">
        <v>7946.3880556221</v>
      </c>
      <c r="C53" s="12">
        <f t="shared" si="12"/>
        <v>4.84756779066786</v>
      </c>
      <c r="D53" s="1"/>
      <c r="E53" s="23">
        <f t="shared" ref="E53:H53" si="15">SUM(E50:E52)</f>
        <v>114522.269445428</v>
      </c>
      <c r="F53" s="23">
        <f t="shared" si="15"/>
        <v>653.615324798214</v>
      </c>
      <c r="G53" s="1"/>
      <c r="H53" s="23">
        <f t="shared" si="15"/>
        <v>11695.8156951081</v>
      </c>
      <c r="I53" s="1"/>
      <c r="J53" s="1"/>
      <c r="K53" s="1"/>
      <c r="L53" s="1"/>
    </row>
    <row r="54" s="2" customFormat="1" hidden="1" spans="1:12">
      <c r="A54" s="1"/>
      <c r="B54" s="23">
        <f>SUM(B48:B53)</f>
        <v>32136.235623136</v>
      </c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="2" customFormat="1" hidden="1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="2" customFormat="1" ht="14.25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="2" customFormat="1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="2" customFormat="1" ht="14.25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1" ht="32.25" spans="1:12">
      <c r="A59" s="5" t="s">
        <v>117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32"/>
    </row>
    <row r="60" customFormat="1" ht="14.25" spans="1:12">
      <c r="A60" s="7" t="s">
        <v>77</v>
      </c>
      <c r="B60" s="8" t="s">
        <v>75</v>
      </c>
      <c r="C60" s="8" t="s">
        <v>46</v>
      </c>
      <c r="D60" s="8" t="s">
        <v>42</v>
      </c>
      <c r="E60" s="8" t="s">
        <v>51</v>
      </c>
      <c r="F60" s="8" t="s">
        <v>87</v>
      </c>
      <c r="G60" s="8" t="s">
        <v>49</v>
      </c>
      <c r="H60" s="8" t="s">
        <v>85</v>
      </c>
      <c r="I60" s="8" t="s">
        <v>88</v>
      </c>
      <c r="J60" s="8" t="s">
        <v>89</v>
      </c>
      <c r="K60" s="8" t="s">
        <v>90</v>
      </c>
      <c r="L60" s="27" t="s">
        <v>91</v>
      </c>
    </row>
    <row r="61" s="1" customFormat="1" spans="1:12">
      <c r="A61" s="7">
        <v>220</v>
      </c>
      <c r="B61" s="8">
        <f>B8</f>
        <v>3500</v>
      </c>
      <c r="C61" s="8">
        <v>0.78</v>
      </c>
      <c r="D61" s="8">
        <f>A61*A61/B61</f>
        <v>13.8285714285714</v>
      </c>
      <c r="E61" s="8">
        <v>3</v>
      </c>
      <c r="F61" s="8">
        <f>D61*E61</f>
        <v>41.4857142857143</v>
      </c>
      <c r="G61" s="8">
        <v>0.1</v>
      </c>
      <c r="H61" s="8">
        <f>B61/A61</f>
        <v>15.9090909090909</v>
      </c>
      <c r="I61" s="8">
        <f>H61/E61</f>
        <v>5.3030303030303</v>
      </c>
      <c r="J61" s="28">
        <v>75438.9008942353</v>
      </c>
      <c r="K61" s="8">
        <f>J61/E61/1000*C61/G61/F61</f>
        <v>4.72792009736599</v>
      </c>
      <c r="L61" s="33">
        <v>590094.254201711</v>
      </c>
    </row>
    <row r="62" s="1" customFormat="1" spans="1:12">
      <c r="A62" s="7"/>
      <c r="B62" s="8"/>
      <c r="C62" s="8"/>
      <c r="D62" s="8">
        <f>D61/0.95</f>
        <v>14.5563909774436</v>
      </c>
      <c r="E62" s="8"/>
      <c r="F62" s="8"/>
      <c r="G62" s="8"/>
      <c r="H62" s="8"/>
      <c r="I62" s="8"/>
      <c r="J62" s="8"/>
      <c r="K62" s="8"/>
      <c r="L62" s="27"/>
    </row>
    <row r="63" s="1" customFormat="1" spans="1:12">
      <c r="A63" s="7"/>
      <c r="B63" s="8"/>
      <c r="C63" s="8"/>
      <c r="D63" s="8"/>
      <c r="E63" s="8"/>
      <c r="F63" s="8"/>
      <c r="G63" s="8"/>
      <c r="H63" s="17"/>
      <c r="I63" s="8"/>
      <c r="J63" s="8"/>
      <c r="K63" s="8"/>
      <c r="L63" s="27"/>
    </row>
    <row r="64" s="1" customFormat="1" spans="1:12">
      <c r="A64" s="7"/>
      <c r="B64" s="8"/>
      <c r="C64" s="8"/>
      <c r="D64" s="8"/>
      <c r="E64" s="8"/>
      <c r="F64" s="8"/>
      <c r="G64" s="8"/>
      <c r="H64" s="18"/>
      <c r="I64" s="8"/>
      <c r="J64" s="8"/>
      <c r="K64" s="8"/>
      <c r="L64" s="27"/>
    </row>
    <row r="65" s="1" customFormat="1" spans="1:12">
      <c r="A65" s="7" t="s">
        <v>1</v>
      </c>
      <c r="B65" s="9" t="s">
        <v>113</v>
      </c>
      <c r="C65" s="8"/>
      <c r="D65" s="10" t="s">
        <v>118</v>
      </c>
      <c r="E65" s="8"/>
      <c r="F65" s="19" t="s">
        <v>96</v>
      </c>
      <c r="G65" s="8"/>
      <c r="H65" s="8"/>
      <c r="I65" s="8"/>
      <c r="J65" s="8"/>
      <c r="K65" s="8"/>
      <c r="L65" s="27"/>
    </row>
    <row r="66" s="1" customFormat="1" spans="1:12">
      <c r="A66" s="7" t="s">
        <v>97</v>
      </c>
      <c r="B66" s="127" t="s">
        <v>98</v>
      </c>
      <c r="C66" s="8"/>
      <c r="D66" s="11">
        <v>29989.9152418575</v>
      </c>
      <c r="E66" s="8">
        <f>D66/2</f>
        <v>14994.9576209287</v>
      </c>
      <c r="F66" s="20">
        <v>11695.8156951084</v>
      </c>
      <c r="G66" s="8"/>
      <c r="H66" s="23">
        <f>B66+F66+D66</f>
        <v>75321.3706804717</v>
      </c>
      <c r="I66" s="8"/>
      <c r="J66" s="8"/>
      <c r="K66" s="8"/>
      <c r="L66" s="27"/>
    </row>
    <row r="67" s="1" customFormat="1" spans="1:12">
      <c r="A67" s="7" t="s">
        <v>100</v>
      </c>
      <c r="B67" s="4">
        <v>5.389</v>
      </c>
      <c r="C67" s="12" t="s">
        <v>119</v>
      </c>
      <c r="D67" s="4">
        <v>4.445</v>
      </c>
      <c r="E67" s="12" t="s">
        <v>120</v>
      </c>
      <c r="F67" s="21">
        <f>F66/1000/$E$61*C61/$G$61/F68</f>
        <v>3.94114334229165</v>
      </c>
      <c r="G67" s="12" t="s">
        <v>121</v>
      </c>
      <c r="H67" s="29"/>
      <c r="I67" s="8"/>
      <c r="J67" s="8"/>
      <c r="K67" s="8"/>
      <c r="L67" s="27"/>
    </row>
    <row r="68" s="1" customFormat="1" ht="15" spans="1:12">
      <c r="A68" s="7" t="s">
        <v>105</v>
      </c>
      <c r="B68" s="8">
        <f>B66/1000/$E$61*$C$61/B67/$G$61</f>
        <v>16.2279946804816</v>
      </c>
      <c r="C68" s="12">
        <f>B68/($D$61/$D$62)</f>
        <v>17.0820996636648</v>
      </c>
      <c r="D68" s="8">
        <f>D66/1000/$E$61*$C$61/D67/$G$61</f>
        <v>17.5419076780269</v>
      </c>
      <c r="E68" s="12">
        <f>D68/($D$61/$D$62)</f>
        <v>18.4651659768704</v>
      </c>
      <c r="F68" s="18">
        <f>F61-B68-D68</f>
        <v>7.71581192720585</v>
      </c>
      <c r="G68" s="12">
        <f>F68/($D$61/$D$62)</f>
        <v>8.12190729179563</v>
      </c>
      <c r="H68" s="29"/>
      <c r="I68" s="8"/>
      <c r="J68" s="8"/>
      <c r="K68" s="8"/>
      <c r="L68" s="27"/>
    </row>
    <row r="69" s="1" customFormat="1" spans="1:12">
      <c r="A69" s="7" t="s">
        <v>106</v>
      </c>
      <c r="B69" s="8">
        <f>$I$61*$I$61*B68*$E$61</f>
        <v>1369.09734735468</v>
      </c>
      <c r="C69" s="8"/>
      <c r="D69" s="8">
        <f>$I$61*$I$61*D68*$E$61</f>
        <v>1479.94744528808</v>
      </c>
      <c r="E69" s="8"/>
      <c r="F69" s="18">
        <f>$I$61*$I$61*F68*$E$61</f>
        <v>650.955207357243</v>
      </c>
      <c r="G69" s="8"/>
      <c r="H69" s="23">
        <f>B69+F69+D69</f>
        <v>3500</v>
      </c>
      <c r="I69" s="8"/>
      <c r="J69" s="8"/>
      <c r="K69" s="8"/>
      <c r="L69" s="27"/>
    </row>
    <row r="70" s="1" customFormat="1" spans="1:12">
      <c r="A70" s="7" t="s">
        <v>107</v>
      </c>
      <c r="B70" s="13">
        <v>224216.852407622</v>
      </c>
      <c r="C70" s="8"/>
      <c r="D70" s="13">
        <v>251355.13234866</v>
      </c>
      <c r="E70" s="8"/>
      <c r="F70" s="22">
        <v>114522.269445424</v>
      </c>
      <c r="G70" s="8"/>
      <c r="H70" s="23">
        <f>B70+D70+F70</f>
        <v>590094.254201706</v>
      </c>
      <c r="I70" s="30"/>
      <c r="J70" s="30"/>
      <c r="K70" s="30"/>
      <c r="L70" s="27"/>
    </row>
    <row r="71" s="1" customFormat="1" spans="1:12">
      <c r="A71" s="7" t="s">
        <v>110</v>
      </c>
      <c r="B71" s="8">
        <f t="shared" ref="B71:F71" si="16">B69/B70*100</f>
        <v>0.61061304386955</v>
      </c>
      <c r="C71" s="8"/>
      <c r="D71" s="8">
        <f t="shared" si="16"/>
        <v>0.588787438497661</v>
      </c>
      <c r="E71" s="8"/>
      <c r="F71" s="8">
        <f t="shared" si="16"/>
        <v>0.568409280142198</v>
      </c>
      <c r="G71" s="29"/>
      <c r="H71" s="8"/>
      <c r="I71" s="8"/>
      <c r="J71" s="8"/>
      <c r="K71" s="8"/>
      <c r="L71" s="27"/>
    </row>
    <row r="72" s="1" customFormat="1" ht="14.25" spans="1:12">
      <c r="A72" s="14" t="s">
        <v>111</v>
      </c>
      <c r="B72" s="15"/>
      <c r="C72" s="15">
        <f>B71-D71</f>
        <v>0.0218256053718886</v>
      </c>
      <c r="D72" s="15"/>
      <c r="E72" s="15">
        <f>D71-F71</f>
        <v>0.0203781583554629</v>
      </c>
      <c r="F72" s="15"/>
      <c r="G72" s="15"/>
      <c r="H72" s="15"/>
      <c r="I72" s="15"/>
      <c r="J72" s="15"/>
      <c r="K72" s="15"/>
      <c r="L72" s="31"/>
    </row>
    <row r="73" s="1" customFormat="1" ht="14.25" spans="4:5">
      <c r="D73" s="11">
        <v>13157.6792619118</v>
      </c>
      <c r="E73" s="1">
        <f>D73/$E$66*$D$67</f>
        <v>3.90037009758321</v>
      </c>
    </row>
    <row r="74" s="1" customFormat="1" spans="4:5">
      <c r="D74" s="11">
        <v>16832.2359799457</v>
      </c>
      <c r="E74" s="1">
        <f>D74/$E$66*$D$67</f>
        <v>4.98962990241679</v>
      </c>
    </row>
    <row r="75" s="1" customFormat="1" ht="14.25" spans="4:4">
      <c r="D75" s="1">
        <f>D74+D73</f>
        <v>29989.9152418575</v>
      </c>
    </row>
    <row r="76" customFormat="1" ht="32.25" spans="1:12">
      <c r="A76" s="5" t="s">
        <v>122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32"/>
    </row>
    <row r="77" customFormat="1" ht="14.25" spans="1:12">
      <c r="A77" s="7" t="s">
        <v>77</v>
      </c>
      <c r="B77" s="8" t="s">
        <v>75</v>
      </c>
      <c r="C77" s="8" t="s">
        <v>46</v>
      </c>
      <c r="D77" s="8" t="s">
        <v>42</v>
      </c>
      <c r="E77" s="8" t="s">
        <v>51</v>
      </c>
      <c r="F77" s="8" t="s">
        <v>87</v>
      </c>
      <c r="G77" s="8" t="s">
        <v>49</v>
      </c>
      <c r="H77" s="8" t="s">
        <v>85</v>
      </c>
      <c r="I77" s="8" t="s">
        <v>88</v>
      </c>
      <c r="J77" s="8" t="s">
        <v>89</v>
      </c>
      <c r="K77" s="8" t="s">
        <v>90</v>
      </c>
      <c r="L77" s="27" t="s">
        <v>91</v>
      </c>
    </row>
    <row r="78" customFormat="1" ht="14.25" spans="1:12">
      <c r="A78" s="7">
        <v>220</v>
      </c>
      <c r="B78" s="8">
        <f>D8</f>
        <v>2800</v>
      </c>
      <c r="C78" s="8">
        <v>0.78</v>
      </c>
      <c r="D78" s="8">
        <f>A78*A78/B78</f>
        <v>17.2857142857143</v>
      </c>
      <c r="E78" s="8">
        <v>3</v>
      </c>
      <c r="F78" s="8">
        <f>D78*E78</f>
        <v>51.8571428571429</v>
      </c>
      <c r="G78" s="8">
        <v>0.1</v>
      </c>
      <c r="H78" s="8">
        <f>B78/A78</f>
        <v>12.7272727272727</v>
      </c>
      <c r="I78" s="8">
        <f>H78/E78</f>
        <v>4.24242424242424</v>
      </c>
      <c r="J78" s="28">
        <v>66757.4521241765</v>
      </c>
      <c r="K78" s="8">
        <f>J78/E78/1000*C78/G78/F78</f>
        <v>3.34706784754824</v>
      </c>
      <c r="L78" s="129" t="s">
        <v>123</v>
      </c>
    </row>
    <row r="79" customFormat="1" ht="14.25" spans="1:12">
      <c r="A79" s="7"/>
      <c r="B79" s="8"/>
      <c r="C79" s="8"/>
      <c r="D79" s="8">
        <f>D78/0.95</f>
        <v>18.1954887218045</v>
      </c>
      <c r="E79" s="8"/>
      <c r="F79" s="8"/>
      <c r="G79" s="8"/>
      <c r="H79" s="8"/>
      <c r="I79" s="8"/>
      <c r="J79" s="8"/>
      <c r="K79" s="8"/>
      <c r="L79" s="27"/>
    </row>
    <row r="80" customFormat="1" ht="14.25" spans="1:12">
      <c r="A80" s="7"/>
      <c r="B80" s="8"/>
      <c r="C80" s="8"/>
      <c r="D80" s="8"/>
      <c r="E80" s="8"/>
      <c r="F80" s="8"/>
      <c r="G80" s="8"/>
      <c r="H80" s="17"/>
      <c r="I80" s="8"/>
      <c r="J80" s="8"/>
      <c r="K80" s="8"/>
      <c r="L80" s="27"/>
    </row>
    <row r="81" spans="1:12">
      <c r="A81" s="7"/>
      <c r="B81" s="8"/>
      <c r="C81" s="8"/>
      <c r="D81" s="8"/>
      <c r="E81" s="8"/>
      <c r="F81" s="8"/>
      <c r="G81" s="8"/>
      <c r="H81" s="18"/>
      <c r="I81" s="8"/>
      <c r="J81" s="8"/>
      <c r="K81" s="8"/>
      <c r="L81" s="27"/>
    </row>
    <row r="82" spans="1:12">
      <c r="A82" s="7" t="s">
        <v>1</v>
      </c>
      <c r="B82" s="10" t="s">
        <v>118</v>
      </c>
      <c r="C82" s="8"/>
      <c r="D82" s="19" t="s">
        <v>96</v>
      </c>
      <c r="E82" s="8"/>
      <c r="F82" s="8"/>
      <c r="G82" s="8"/>
      <c r="H82" s="8"/>
      <c r="I82" s="8"/>
      <c r="J82" s="8"/>
      <c r="K82" s="8"/>
      <c r="L82" s="27"/>
    </row>
    <row r="83" spans="1:12">
      <c r="A83" s="7" t="s">
        <v>97</v>
      </c>
      <c r="B83" s="127" t="s">
        <v>124</v>
      </c>
      <c r="C83" s="8"/>
      <c r="D83" s="20">
        <v>32160.9151349332</v>
      </c>
      <c r="E83" s="8">
        <f>D83/4</f>
        <v>8040.2287837333</v>
      </c>
      <c r="F83" s="23">
        <f t="shared" ref="F83:F87" si="17">B83+D83</f>
        <v>66757.4521241765</v>
      </c>
      <c r="G83" s="8"/>
      <c r="H83" s="8"/>
      <c r="I83" s="8"/>
      <c r="J83" s="8"/>
      <c r="K83" s="8"/>
      <c r="L83" s="27"/>
    </row>
    <row r="84" spans="1:12">
      <c r="A84" s="7" t="s">
        <v>100</v>
      </c>
      <c r="B84" s="4">
        <v>3</v>
      </c>
      <c r="C84" s="12" t="s">
        <v>125</v>
      </c>
      <c r="D84" s="21">
        <f>D83/1000/$E$78*C78/$G$78/D85</f>
        <v>3.82282055878053</v>
      </c>
      <c r="E84" s="12" t="s">
        <v>126</v>
      </c>
      <c r="F84" s="29"/>
      <c r="G84" s="8"/>
      <c r="H84" s="8"/>
      <c r="I84" s="8"/>
      <c r="J84" s="8"/>
      <c r="K84" s="8"/>
      <c r="L84" s="27"/>
    </row>
    <row r="85" ht="15" spans="1:12">
      <c r="A85" s="7" t="s">
        <v>105</v>
      </c>
      <c r="B85" s="8">
        <f>B83/1000/$E$78*$C$78/B84/$G$78</f>
        <v>29.9836653906775</v>
      </c>
      <c r="C85" s="12">
        <f>B85/($D$78/$D$79)</f>
        <v>31.5617530428184</v>
      </c>
      <c r="D85" s="18">
        <f>F78-B85</f>
        <v>21.8734774664653</v>
      </c>
      <c r="E85" s="12">
        <f>D85/($D$78/$D$79)</f>
        <v>23.0247131225951</v>
      </c>
      <c r="F85" s="29"/>
      <c r="G85" s="8"/>
      <c r="H85" s="8"/>
      <c r="I85" s="8"/>
      <c r="J85" s="8"/>
      <c r="K85" s="8"/>
      <c r="L85" s="27"/>
    </row>
    <row r="86" spans="1:12">
      <c r="A86" s="7" t="s">
        <v>106</v>
      </c>
      <c r="B86" s="8">
        <f>$I$78*$I$78*B85*$E$78</f>
        <v>1618.95273183824</v>
      </c>
      <c r="C86" s="8"/>
      <c r="D86" s="18">
        <f>$I$78*$I$78*D85*$E$78</f>
        <v>1181.04726816176</v>
      </c>
      <c r="E86" s="8"/>
      <c r="F86" s="23">
        <f t="shared" si="17"/>
        <v>2800</v>
      </c>
      <c r="G86" s="8"/>
      <c r="H86" s="8"/>
      <c r="I86" s="8"/>
      <c r="J86" s="8"/>
      <c r="K86" s="8"/>
      <c r="L86" s="27"/>
    </row>
    <row r="87" spans="1:12">
      <c r="A87" s="7" t="s">
        <v>107</v>
      </c>
      <c r="B87" s="128" t="s">
        <v>127</v>
      </c>
      <c r="C87" s="8"/>
      <c r="D87" s="130" t="s">
        <v>128</v>
      </c>
      <c r="E87" s="8"/>
      <c r="F87" s="23">
        <f t="shared" si="17"/>
        <v>471351.99579829</v>
      </c>
      <c r="G87" s="30"/>
      <c r="H87" s="30"/>
      <c r="I87" s="30"/>
      <c r="J87" s="30"/>
      <c r="K87" s="30"/>
      <c r="L87" s="27"/>
    </row>
    <row r="88" spans="1:12">
      <c r="A88" s="7" t="s">
        <v>110</v>
      </c>
      <c r="B88" s="8">
        <f>B86/B87*100</f>
        <v>0.67189845283268</v>
      </c>
      <c r="C88" s="8"/>
      <c r="D88" s="8">
        <f>D86/D87*100</f>
        <v>0.512607321250786</v>
      </c>
      <c r="E88" s="29"/>
      <c r="F88" s="8"/>
      <c r="G88" s="8"/>
      <c r="H88" s="8"/>
      <c r="I88" s="8"/>
      <c r="J88" s="8"/>
      <c r="K88" s="8"/>
      <c r="L88" s="27"/>
    </row>
    <row r="89" ht="14.25" spans="1:12">
      <c r="A89" s="14" t="s">
        <v>111</v>
      </c>
      <c r="B89" s="15"/>
      <c r="C89" s="15">
        <f>B88-D88</f>
        <v>0.159291131581894</v>
      </c>
      <c r="D89" s="15"/>
      <c r="E89" s="15"/>
      <c r="F89" s="15"/>
      <c r="G89" s="15"/>
      <c r="H89" s="15"/>
      <c r="I89" s="15"/>
      <c r="J89" s="15"/>
      <c r="K89" s="15"/>
      <c r="L89" s="31"/>
    </row>
    <row r="90" ht="14.25" hidden="1" spans="4:5">
      <c r="D90" s="131" t="s">
        <v>129</v>
      </c>
      <c r="E90" s="12" t="e">
        <f t="shared" ref="E90:E93" si="18">D90/$E$83*$E$84</f>
        <v>#VALUE!</v>
      </c>
    </row>
    <row r="91" hidden="1" spans="4:5">
      <c r="D91" s="131" t="s">
        <v>130</v>
      </c>
      <c r="E91" s="12" t="e">
        <f t="shared" si="18"/>
        <v>#VALUE!</v>
      </c>
    </row>
    <row r="92" hidden="1" spans="4:5">
      <c r="D92" s="131" t="s">
        <v>131</v>
      </c>
      <c r="E92" s="12" t="e">
        <f t="shared" si="18"/>
        <v>#VALUE!</v>
      </c>
    </row>
    <row r="93" hidden="1" spans="4:5">
      <c r="D93" s="131" t="s">
        <v>132</v>
      </c>
      <c r="E93" s="12" t="e">
        <f t="shared" si="18"/>
        <v>#VALUE!</v>
      </c>
    </row>
    <row r="94" hidden="1"/>
    <row r="95" ht="14.25"/>
  </sheetData>
  <sheetProtection algorithmName="SHA-512" hashValue="81qArRQezXMzwOSONzUhjK8RNrwElApjRvLNqEEDh2FR/825++XT1g34vmuaBpRBkA5mD8s1yzp9eOm4epgL5g==" saltValue="/UiCi5RHIiFcF+jZvLyqLw==" spinCount="100000" sheet="1" object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" master="" otherUserPermission="visible"/>
  <rangeList sheetStid="1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个人版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线路计算</vt:lpstr>
      <vt:lpstr>线路计算(旧)</vt:lpstr>
      <vt:lpstr>功率分布(000)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WPS_1764483362</cp:lastModifiedBy>
  <cp:revision>1</cp:revision>
  <dcterms:created xsi:type="dcterms:W3CDTF">2021-03-17T03:13:00Z</dcterms:created>
  <dcterms:modified xsi:type="dcterms:W3CDTF">2026-06-01T01:32:44Z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80B30DE4EA3D4C779E1A7BBA98A75C2F_13</vt:lpwstr>
  </property>
  <property fmtid="{D5CDD505-2E9C-101B-9397-08002B2CF9AE}" pid="4" name="KSOReadingLayout">
    <vt:bool>false</vt:bool>
  </property>
</Properties>
</file>