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 firstSheet="1"/>
  </bookViews>
  <sheets>
    <sheet name="线路计算" sheetId="10" r:id="rId1"/>
    <sheet name="线路计算(旧)" sheetId="1" state="hidden" r:id="rId2"/>
    <sheet name="功率分布(000)" sheetId="11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<sst xmlns="http://schemas.openxmlformats.org/spreadsheetml/2006/main" count="297" uniqueCount="145">
  <si>
    <t>材料</t>
  </si>
  <si>
    <t>发热区</t>
  </si>
  <si>
    <t>发热区长(mm)</t>
  </si>
  <si>
    <t>偏移距离</t>
  </si>
  <si>
    <t>发热区宽(mm)</t>
  </si>
  <si>
    <t>中心线到边距离</t>
  </si>
  <si>
    <t>电阻R(Ω)</t>
  </si>
  <si>
    <t>发热区净长(mm)</t>
  </si>
  <si>
    <t>电阻率ρ(Ω·m)</t>
  </si>
  <si>
    <t>320</t>
  </si>
  <si>
    <t>发热区净宽(mm)</t>
  </si>
  <si>
    <t>厚度d(mm)</t>
  </si>
  <si>
    <t>发热丝组数(组)</t>
  </si>
  <si>
    <t>比值L/W(mm)</t>
  </si>
  <si>
    <t>初设线宽(mm)</t>
  </si>
  <si>
    <t>损耗</t>
  </si>
  <si>
    <t>线长(mm)</t>
  </si>
  <si>
    <t>横向</t>
  </si>
  <si>
    <t>组数</t>
  </si>
  <si>
    <t>竖向</t>
  </si>
  <si>
    <t>可布线数(根)</t>
  </si>
  <si>
    <t>可布线数</t>
  </si>
  <si>
    <t>中心线间距(mm)</t>
  </si>
  <si>
    <t>发热丝间距(mm)</t>
  </si>
  <si>
    <t>发热丝面积</t>
  </si>
  <si>
    <t>实际面积</t>
  </si>
  <si>
    <t>移除占比</t>
  </si>
  <si>
    <t>假设线宽</t>
  </si>
  <si>
    <t>设变线宽</t>
  </si>
  <si>
    <t>设变间距</t>
  </si>
  <si>
    <t>线宽间距比值</t>
  </si>
  <si>
    <t>电阻(±4%)</t>
  </si>
  <si>
    <t>电阻(±5%)</t>
  </si>
  <si>
    <t>最后更新</t>
  </si>
  <si>
    <t>filmInfo</t>
  </si>
  <si>
    <t>CXT-4000</t>
  </si>
  <si>
    <t>硅胶加热膜</t>
  </si>
  <si>
    <t>样品</t>
  </si>
  <si>
    <t>阮焕</t>
  </si>
  <si>
    <t>已知量</t>
  </si>
  <si>
    <t>定义量</t>
  </si>
  <si>
    <t>发热区长</t>
  </si>
  <si>
    <t>电阻</t>
  </si>
  <si>
    <t>R</t>
  </si>
  <si>
    <t>Ω</t>
  </si>
  <si>
    <t>mm</t>
  </si>
  <si>
    <t>电阻率</t>
  </si>
  <si>
    <t>Ω·m</t>
  </si>
  <si>
    <t>发热区宽</t>
  </si>
  <si>
    <t>厚度</t>
  </si>
  <si>
    <t>d</t>
  </si>
  <si>
    <t>发热丝组数</t>
  </si>
  <si>
    <t>组</t>
  </si>
  <si>
    <t>H4的表格数据要保持在5.0~5.5</t>
  </si>
  <si>
    <t>比值</t>
  </si>
  <si>
    <t>L/W</t>
  </si>
  <si>
    <t>线宽/2</t>
  </si>
  <si>
    <t>线长</t>
  </si>
  <si>
    <t>结果</t>
  </si>
  <si>
    <t>整数</t>
  </si>
  <si>
    <t>根</t>
  </si>
  <si>
    <t>中心线间距</t>
  </si>
  <si>
    <t>电阻到小数点后两位</t>
  </si>
  <si>
    <t>发热丝间距</t>
  </si>
  <si>
    <t>发热丝间距大于1.5</t>
  </si>
  <si>
    <t>1/2中心线间距</t>
  </si>
  <si>
    <t>发热丝宽度5以上和发热丝4组以上 考虑换电阻率材质</t>
  </si>
  <si>
    <t>排除后面积</t>
  </si>
  <si>
    <t>实际线长</t>
  </si>
  <si>
    <t>实际线宽</t>
  </si>
  <si>
    <t>实际线宽
的一半</t>
  </si>
  <si>
    <t>电阻公差值</t>
  </si>
  <si>
    <t>需排除面积</t>
  </si>
  <si>
    <t>功率密度</t>
  </si>
  <si>
    <t>功率：长*宽*功率密度/100→MM²换算CM²</t>
  </si>
  <si>
    <t>功率</t>
  </si>
  <si>
    <t>总功率</t>
  </si>
  <si>
    <t>电压</t>
  </si>
  <si>
    <t>总电流</t>
  </si>
  <si>
    <t>总电阻</t>
  </si>
  <si>
    <t>总电阻(±4%)</t>
  </si>
  <si>
    <t>总电阻(±5%)</t>
  </si>
  <si>
    <t>发热膜</t>
  </si>
  <si>
    <t>外圈</t>
  </si>
  <si>
    <t>内圈</t>
  </si>
  <si>
    <t>电流</t>
  </si>
  <si>
    <t>6分区 功率密度关系表</t>
  </si>
  <si>
    <t>导体电阻</t>
  </si>
  <si>
    <t>单根电流</t>
  </si>
  <si>
    <t>总线长(mm)</t>
  </si>
  <si>
    <t>平均线宽(mm)</t>
  </si>
  <si>
    <t>总表面积(mm²)</t>
  </si>
  <si>
    <t>1228880.0000000002</t>
  </si>
  <si>
    <t>上角(红色)</t>
  </si>
  <si>
    <t>下角(红色)</t>
  </si>
  <si>
    <t>上下中层(紫色)V</t>
  </si>
  <si>
    <t>左右中层(紫色)H</t>
  </si>
  <si>
    <t>中层(黄色)</t>
  </si>
  <si>
    <t>最内层(蓝色)</t>
  </si>
  <si>
    <t>区域多组总线长(mm)</t>
  </si>
  <si>
    <t>13977.6700431211</t>
  </si>
  <si>
    <t>13801.0272671681</t>
  </si>
  <si>
    <t>10153.5622333792</t>
  </si>
  <si>
    <t>12172.8489717737</t>
  </si>
  <si>
    <t>44341.8625577958</t>
  </si>
  <si>
    <t>41441.3596501202</t>
  </si>
  <si>
    <t>线宽(mm)</t>
  </si>
  <si>
    <r>
      <rPr>
        <sz val="11"/>
        <color theme="1"/>
        <rFont val="宋体"/>
        <charset val="134"/>
        <scheme val="minor"/>
      </rPr>
      <t>单根导体电阻(</t>
    </r>
    <r>
      <rPr>
        <sz val="11"/>
        <color rgb="FF000000"/>
        <rFont val="Times New Roman"/>
        <charset val="134"/>
      </rPr>
      <t>Ω</t>
    </r>
    <r>
      <rPr>
        <sz val="11"/>
        <color theme="1"/>
        <rFont val="宋体"/>
        <charset val="134"/>
        <scheme val="minor"/>
      </rPr>
      <t>)</t>
    </r>
  </si>
  <si>
    <t>功率(W)</t>
  </si>
  <si>
    <t>表面积(mm²)</t>
  </si>
  <si>
    <t>111560.2108994943</t>
  </si>
  <si>
    <t>107766.740608633</t>
  </si>
  <si>
    <t>86404.843258486</t>
  </si>
  <si>
    <t>104745.1088642788</t>
  </si>
  <si>
    <t>409279.3356854428</t>
  </si>
  <si>
    <t>409123.7606836663</t>
  </si>
  <si>
    <t>功率密度(W/cm²)</t>
  </si>
  <si>
    <t>密度差(W/cm²)</t>
  </si>
  <si>
    <t>5分区 功率密度关系表</t>
  </si>
  <si>
    <t>左角(红色)</t>
  </si>
  <si>
    <t>右角(红色)</t>
  </si>
  <si>
    <t>外层(紫色)V</t>
  </si>
  <si>
    <t>外层(紫色)H</t>
  </si>
  <si>
    <t>最内层(黄色)</t>
  </si>
  <si>
    <t>区域线长(mm)</t>
  </si>
  <si>
    <t>33635.6397435058</t>
  </si>
  <si>
    <t>16832.2359799457</t>
  </si>
  <si>
    <t>114522.2694454353</t>
  </si>
  <si>
    <t>136832.862903225</t>
  </si>
  <si>
    <t>4分区 功率密度关系表</t>
  </si>
  <si>
    <t>加密四个角(红色)</t>
  </si>
  <si>
    <t>13284.3619966001</t>
  </si>
  <si>
    <t>red</t>
  </si>
  <si>
    <t>Yellow</t>
  </si>
  <si>
    <t>3分区 功率密度关系表</t>
  </si>
  <si>
    <t>外层(紫色)</t>
  </si>
  <si>
    <t>2分区 功率密度关系表</t>
  </si>
  <si>
    <t>471351.9957982904</t>
  </si>
  <si>
    <t>34596.5369892433</t>
  </si>
  <si>
    <t>240951.9957982991</t>
  </si>
  <si>
    <t>230399.9999999913</t>
  </si>
  <si>
    <t>8140.9646049577</t>
  </si>
  <si>
    <t>7908.5913243176</t>
  </si>
  <si>
    <t>8131.5179128183</t>
  </si>
  <si>
    <t>7979.8412928396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</si>
</sst>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@\(&quot;补偿&quot;\)"/>
    <numFmt numFmtId="177" formatCode="0.000000000_ "/>
    <numFmt numFmtId="178" formatCode="@\(&quot;验&quot;&quot;证&quot;\)"/>
    <numFmt numFmtId="179" formatCode="0.00_ "/>
    <numFmt numFmtId="180" formatCode="0_ "/>
    <numFmt numFmtId="181" formatCode="0.00000_ "/>
    <numFmt numFmtId="182" formatCode="0.0000_ "/>
    <numFmt numFmtId="183" formatCode="&quot;电&quot;&quot;压&quot;@"/>
    <numFmt numFmtId="184" formatCode="&quot;功&quot;&quot;率&quot;@"/>
    <numFmt numFmtId="185" formatCode="&quot;电&quot;&quot;流&quot;@"/>
    <numFmt numFmtId="186" formatCode="&quot;功&quot;&quot;率&quot;&quot;密&quot;&quot;度&quot;@"/>
    <numFmt numFmtId="187" formatCode="&quot;最&quot;&quot;窄&quot;&quot;压&quot;&quot;包&quot;@"/>
    <numFmt numFmtId="188" formatCode="0.000000"/>
  </numFmts>
  <fonts count="36">
    <font>
      <sz val="12"/>
      <name val="宋体"/>
      <charset val="134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24"/>
      <color theme="1"/>
      <name val="宋体"/>
      <charset val="134"/>
      <scheme val="minor"/>
    </font>
    <font>
      <sz val="11"/>
      <color rgb="FFE22828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0" tint="-0.349986266670736"/>
      <name val="宋体"/>
      <charset val="134"/>
    </font>
    <font>
      <sz val="11"/>
      <color theme="0" tint="-0.499984740745262"/>
      <name val="宋体"/>
      <charset val="134"/>
      <scheme val="minor"/>
    </font>
    <font>
      <sz val="11"/>
      <name val="宋体"/>
      <charset val="134"/>
    </font>
    <font>
      <sz val="11"/>
      <color rgb="FF00B050"/>
      <name val="宋体"/>
      <charset val="134"/>
      <scheme val="minor"/>
    </font>
    <font>
      <b/>
      <sz val="12"/>
      <color indexed="8"/>
      <name val="宋体"/>
      <charset val="134"/>
    </font>
    <font>
      <b/>
      <sz val="12"/>
      <name val="宋体"/>
      <charset val="134"/>
    </font>
    <font>
      <sz val="12"/>
      <color indexed="8"/>
      <name val="宋体"/>
      <charset val="134"/>
    </font>
    <font>
      <sz val="10"/>
      <name val="宋体"/>
      <charset val="134"/>
    </font>
    <font>
      <sz val="11"/>
      <color rgb="FF00B050"/>
      <name val="宋体"/>
      <charset val="134"/>
    </font>
    <font>
      <sz val="11"/>
      <color rgb="FF000000"/>
      <name val="宋体"/>
      <charset val="134"/>
    </font>
    <font>
      <sz val="10"/>
      <color rgb="FFABB2BF"/>
      <name val="Cascadia Code"/>
      <charset val="134"/>
    </font>
    <font>
      <u/>
      <sz val="11"/>
      <color indexed="12"/>
      <name val="宋体"/>
      <charset val="134"/>
    </font>
    <font>
      <u/>
      <sz val="11"/>
      <color indexed="20"/>
      <name val="宋体"/>
      <charset val="134"/>
    </font>
    <font>
      <sz val="11"/>
      <color indexed="10"/>
      <name val="宋体"/>
      <charset val="134"/>
    </font>
    <font>
      <b/>
      <sz val="18"/>
      <color indexed="62"/>
      <name val="宋体"/>
      <charset val="134"/>
    </font>
    <font>
      <i/>
      <sz val="11"/>
      <color indexed="23"/>
      <name val="宋体"/>
      <charset val="134"/>
    </font>
    <font>
      <b/>
      <sz val="15"/>
      <color indexed="62"/>
      <name val="宋体"/>
      <charset val="134"/>
    </font>
    <font>
      <b/>
      <sz val="13"/>
      <color indexed="62"/>
      <name val="宋体"/>
      <charset val="134"/>
    </font>
    <font>
      <b/>
      <sz val="11"/>
      <color indexed="62"/>
      <name val="宋体"/>
      <charset val="134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sz val="11"/>
      <color indexed="52"/>
      <name val="宋体"/>
      <charset val="134"/>
    </font>
    <font>
      <b/>
      <sz val="11"/>
      <color indexed="8"/>
      <name val="宋体"/>
      <charset val="134"/>
    </font>
    <font>
      <sz val="11"/>
      <color indexed="17"/>
      <name val="宋体"/>
      <charset val="134"/>
    </font>
    <font>
      <sz val="11"/>
      <color indexed="60"/>
      <name val="宋体"/>
      <charset val="134"/>
    </font>
    <font>
      <sz val="11"/>
      <color indexed="9"/>
      <name val="宋体"/>
      <charset val="134"/>
    </font>
    <font>
      <sz val="11"/>
      <color indexed="8"/>
      <name val="宋体"/>
      <charset val="134"/>
    </font>
    <font>
      <sz val="11"/>
      <color rgb="FF000000"/>
      <name val="Times New Roman"/>
      <charset val="134"/>
    </font>
  </fonts>
  <fills count="3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0FFD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7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4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49">
    <xf numFmtId="0" fontId="0" fillId="0" borderId="0">
      <alignment vertical="center"/>
    </xf>
    <xf numFmtId="43" fontId="0" fillId="0" borderId="0" applyProtection="0">
      <alignment vertical="center"/>
    </xf>
    <xf numFmtId="44" fontId="0" fillId="0" borderId="0" applyProtection="0">
      <alignment vertical="center"/>
    </xf>
    <xf numFmtId="9" fontId="0" fillId="0" borderId="0" applyProtection="0">
      <alignment vertical="center"/>
    </xf>
    <xf numFmtId="41" fontId="0" fillId="0" borderId="0" applyProtection="0">
      <alignment vertical="center"/>
    </xf>
    <xf numFmtId="42" fontId="0" fillId="0" borderId="0" applyProtection="0">
      <alignment vertical="center"/>
    </xf>
    <xf numFmtId="0" fontId="17" fillId="0" borderId="0" applyProtection="0">
      <alignment vertical="center"/>
    </xf>
    <xf numFmtId="0" fontId="18" fillId="0" borderId="0" applyProtection="0">
      <alignment vertical="center"/>
    </xf>
    <xf numFmtId="0" fontId="0" fillId="17" borderId="16" applyProtection="0">
      <alignment vertical="center"/>
    </xf>
    <xf numFmtId="0" fontId="19" fillId="0" borderId="0" applyProtection="0">
      <alignment vertical="center"/>
    </xf>
    <xf numFmtId="0" fontId="20" fillId="0" borderId="0" applyProtection="0">
      <alignment vertical="center"/>
    </xf>
    <xf numFmtId="0" fontId="21" fillId="0" borderId="0" applyProtection="0">
      <alignment vertical="center"/>
    </xf>
    <xf numFmtId="0" fontId="22" fillId="0" borderId="17" applyProtection="0">
      <alignment vertical="center"/>
    </xf>
    <xf numFmtId="0" fontId="23" fillId="0" borderId="17" applyProtection="0">
      <alignment vertical="center"/>
    </xf>
    <xf numFmtId="0" fontId="24" fillId="0" borderId="18" applyProtection="0">
      <alignment vertical="center"/>
    </xf>
    <xf numFmtId="0" fontId="24" fillId="0" borderId="0" applyProtection="0">
      <alignment vertical="center"/>
    </xf>
    <xf numFmtId="0" fontId="25" fillId="18" borderId="19" applyProtection="0">
      <alignment vertical="center"/>
    </xf>
    <xf numFmtId="0" fontId="26" fillId="19" borderId="20" applyProtection="0">
      <alignment vertical="center"/>
    </xf>
    <xf numFmtId="0" fontId="27" fillId="19" borderId="19" applyProtection="0">
      <alignment vertical="center"/>
    </xf>
    <xf numFmtId="0" fontId="28" fillId="20" borderId="21" applyProtection="0">
      <alignment vertical="center"/>
    </xf>
    <xf numFmtId="0" fontId="29" fillId="0" borderId="22" applyProtection="0">
      <alignment vertical="center"/>
    </xf>
    <xf numFmtId="0" fontId="30" fillId="0" borderId="23" applyProtection="0">
      <alignment vertical="center"/>
    </xf>
    <xf numFmtId="0" fontId="31" fillId="21" borderId="0" applyProtection="0">
      <alignment vertical="center"/>
    </xf>
    <xf numFmtId="0" fontId="32" fillId="22" borderId="0" applyProtection="0">
      <alignment vertical="center"/>
    </xf>
    <xf numFmtId="0" fontId="32" fillId="23" borderId="0" applyProtection="0">
      <alignment vertical="center"/>
    </xf>
    <xf numFmtId="0" fontId="33" fillId="24" borderId="0" applyProtection="0">
      <alignment vertical="center"/>
    </xf>
    <xf numFmtId="0" fontId="34" fillId="25" borderId="0" applyProtection="0">
      <alignment vertical="center"/>
    </xf>
    <xf numFmtId="0" fontId="34" fillId="26" borderId="0" applyProtection="0">
      <alignment vertical="center"/>
    </xf>
    <xf numFmtId="0" fontId="33" fillId="26" borderId="0" applyProtection="0">
      <alignment vertical="center"/>
    </xf>
    <xf numFmtId="0" fontId="33" fillId="27" borderId="0" applyProtection="0">
      <alignment vertical="center"/>
    </xf>
    <xf numFmtId="0" fontId="34" fillId="18" borderId="0" applyProtection="0">
      <alignment vertical="center"/>
    </xf>
    <xf numFmtId="0" fontId="34" fillId="18" borderId="0" applyProtection="0">
      <alignment vertical="center"/>
    </xf>
    <xf numFmtId="0" fontId="33" fillId="22" borderId="0" applyProtection="0">
      <alignment vertical="center"/>
    </xf>
    <xf numFmtId="0" fontId="33" fillId="20" borderId="0" applyProtection="0">
      <alignment vertical="center"/>
    </xf>
    <xf numFmtId="0" fontId="34" fillId="19" borderId="0" applyProtection="0">
      <alignment vertical="center"/>
    </xf>
    <xf numFmtId="0" fontId="34" fillId="28" borderId="0" applyProtection="0">
      <alignment vertical="center"/>
    </xf>
    <xf numFmtId="0" fontId="33" fillId="28" borderId="0" applyProtection="0">
      <alignment vertical="center"/>
    </xf>
    <xf numFmtId="0" fontId="33" fillId="8" borderId="0" applyProtection="0">
      <alignment vertical="center"/>
    </xf>
    <xf numFmtId="0" fontId="34" fillId="17" borderId="0" applyProtection="0">
      <alignment vertical="center"/>
    </xf>
    <xf numFmtId="0" fontId="34" fillId="18" borderId="0" applyProtection="0">
      <alignment vertical="center"/>
    </xf>
    <xf numFmtId="0" fontId="33" fillId="18" borderId="0" applyProtection="0">
      <alignment vertical="center"/>
    </xf>
    <xf numFmtId="0" fontId="33" fillId="24" borderId="0" applyProtection="0">
      <alignment vertical="center"/>
    </xf>
    <xf numFmtId="0" fontId="34" fillId="29" borderId="0" applyProtection="0">
      <alignment vertical="center"/>
    </xf>
    <xf numFmtId="0" fontId="34" fillId="26" borderId="0" applyProtection="0">
      <alignment vertical="center"/>
    </xf>
    <xf numFmtId="0" fontId="33" fillId="26" borderId="0" applyProtection="0">
      <alignment vertical="center"/>
    </xf>
    <xf numFmtId="0" fontId="33" fillId="30" borderId="0" applyProtection="0">
      <alignment vertical="center"/>
    </xf>
    <xf numFmtId="0" fontId="34" fillId="21" borderId="0" applyProtection="0">
      <alignment vertical="center"/>
    </xf>
    <xf numFmtId="0" fontId="34" fillId="21" borderId="0" applyProtection="0">
      <alignment vertical="center"/>
    </xf>
    <xf numFmtId="0" fontId="33" fillId="30" borderId="0" applyProtection="0">
      <alignment vertical="center"/>
    </xf>
  </cellStyleXfs>
  <cellXfs count="127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Continuous" vertical="center"/>
    </xf>
    <xf numFmtId="0" fontId="3" fillId="0" borderId="3" xfId="0" applyFont="1" applyFill="1" applyBorder="1" applyAlignment="1">
      <alignment horizontal="centerContinuous" vertical="center"/>
    </xf>
    <xf numFmtId="0" fontId="1" fillId="0" borderId="4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1" fillId="4" borderId="1" xfId="0" applyNumberFormat="1" applyFont="1" applyFill="1" applyBorder="1" applyAlignment="1">
      <alignment vertical="center" wrapText="1"/>
    </xf>
    <xf numFmtId="176" fontId="6" fillId="0" borderId="1" xfId="0" applyNumberFormat="1" applyFont="1" applyFill="1" applyBorder="1" applyAlignment="1">
      <alignment vertical="center"/>
    </xf>
    <xf numFmtId="0" fontId="1" fillId="4" borderId="1" xfId="0" applyNumberFormat="1" applyFont="1" applyFill="1" applyBorder="1" applyAlignment="1">
      <alignment vertical="center"/>
    </xf>
    <xf numFmtId="0" fontId="1" fillId="0" borderId="5" xfId="0" applyFont="1" applyFill="1" applyBorder="1" applyAlignment="1">
      <alignment vertical="center"/>
    </xf>
    <xf numFmtId="0" fontId="1" fillId="0" borderId="6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vertical="center"/>
    </xf>
    <xf numFmtId="0" fontId="1" fillId="0" borderId="8" xfId="0" applyFont="1" applyFill="1" applyBorder="1" applyAlignment="1">
      <alignment vertical="center"/>
    </xf>
    <xf numFmtId="0" fontId="7" fillId="5" borderId="8" xfId="0" applyFont="1" applyFill="1" applyBorder="1" applyAlignment="1">
      <alignment horizontal="center" vertical="center"/>
    </xf>
    <xf numFmtId="0" fontId="1" fillId="4" borderId="8" xfId="0" applyNumberFormat="1" applyFont="1" applyFill="1" applyBorder="1" applyAlignment="1">
      <alignment vertical="center" wrapText="1"/>
    </xf>
    <xf numFmtId="0" fontId="8" fillId="0" borderId="0" xfId="0" applyFont="1" applyFill="1" applyBorder="1" applyAlignment="1">
      <alignment vertical="center"/>
    </xf>
    <xf numFmtId="0" fontId="1" fillId="4" borderId="8" xfId="0" applyNumberFormat="1" applyFont="1" applyFill="1" applyBorder="1" applyAlignment="1">
      <alignment vertical="center"/>
    </xf>
    <xf numFmtId="0" fontId="1" fillId="0" borderId="3" xfId="0" applyFont="1" applyFill="1" applyBorder="1" applyAlignment="1">
      <alignment horizontal="centerContinuous" vertical="center"/>
    </xf>
    <xf numFmtId="0" fontId="1" fillId="0" borderId="9" xfId="0" applyFont="1" applyFill="1" applyBorder="1" applyAlignment="1">
      <alignment horizontal="centerContinuous" vertical="center"/>
    </xf>
    <xf numFmtId="0" fontId="1" fillId="0" borderId="10" xfId="0" applyFont="1" applyFill="1" applyBorder="1" applyAlignment="1">
      <alignment vertical="center"/>
    </xf>
    <xf numFmtId="177" fontId="1" fillId="4" borderId="1" xfId="0" applyNumberFormat="1" applyFont="1" applyFill="1" applyBorder="1" applyAlignment="1">
      <alignment vertical="center"/>
    </xf>
    <xf numFmtId="0" fontId="5" fillId="6" borderId="8" xfId="0" applyFont="1" applyFill="1" applyBorder="1" applyAlignment="1">
      <alignment horizontal="center" vertical="center"/>
    </xf>
    <xf numFmtId="178" fontId="9" fillId="0" borderId="1" xfId="0" applyNumberFormat="1" applyFont="1" applyFill="1" applyBorder="1" applyAlignment="1">
      <alignment vertical="center"/>
    </xf>
    <xf numFmtId="0" fontId="1" fillId="0" borderId="1" xfId="0" applyNumberFormat="1" applyFont="1" applyFill="1" applyBorder="1" applyAlignment="1">
      <alignment vertical="center"/>
    </xf>
    <xf numFmtId="178" fontId="9" fillId="0" borderId="1" xfId="0" applyNumberFormat="1" applyFont="1" applyFill="1" applyBorder="1" applyAlignment="1">
      <alignment horizontal="right" vertical="center"/>
    </xf>
    <xf numFmtId="0" fontId="1" fillId="0" borderId="11" xfId="0" applyFont="1" applyFill="1" applyBorder="1" applyAlignment="1">
      <alignment vertical="center"/>
    </xf>
    <xf numFmtId="0" fontId="3" fillId="0" borderId="9" xfId="0" applyFont="1" applyFill="1" applyBorder="1" applyAlignment="1">
      <alignment horizontal="centerContinuous" vertical="center"/>
    </xf>
    <xf numFmtId="0" fontId="1" fillId="4" borderId="10" xfId="0" applyNumberFormat="1" applyFont="1" applyFill="1" applyBorder="1" applyAlignment="1">
      <alignment vertical="center"/>
    </xf>
    <xf numFmtId="0" fontId="1" fillId="0" borderId="0" xfId="0" applyNumberFormat="1" applyFont="1" applyFill="1" applyBorder="1" applyAlignment="1">
      <alignment vertical="center"/>
    </xf>
    <xf numFmtId="0" fontId="0" fillId="0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1" xfId="0" applyNumberFormat="1" applyFont="1" applyFill="1" applyBorder="1" applyAlignment="1" applyProtection="1">
      <alignment horizontal="center" vertical="center"/>
    </xf>
    <xf numFmtId="0" fontId="10" fillId="7" borderId="1" xfId="0" applyNumberFormat="1" applyFont="1" applyFill="1" applyBorder="1" applyAlignment="1" applyProtection="1">
      <alignment horizontal="center" vertical="center"/>
    </xf>
    <xf numFmtId="0" fontId="11" fillId="8" borderId="1" xfId="0" applyNumberFormat="1" applyFont="1" applyFill="1" applyBorder="1" applyAlignment="1" applyProtection="1">
      <alignment horizontal="center" vertical="center"/>
    </xf>
    <xf numFmtId="0" fontId="11" fillId="7" borderId="1" xfId="0" applyNumberFormat="1" applyFont="1" applyFill="1" applyBorder="1" applyAlignment="1" applyProtection="1">
      <alignment horizontal="center" vertical="center"/>
    </xf>
    <xf numFmtId="0" fontId="12" fillId="7" borderId="1" xfId="0" applyNumberFormat="1" applyFont="1" applyFill="1" applyBorder="1" applyAlignment="1" applyProtection="1">
      <alignment horizontal="center" vertical="center"/>
    </xf>
    <xf numFmtId="2" fontId="12" fillId="9" borderId="1" xfId="0" applyNumberFormat="1" applyFont="1" applyFill="1" applyBorder="1" applyAlignment="1" applyProtection="1">
      <alignment horizontal="center" vertical="center"/>
      <protection locked="0"/>
    </xf>
    <xf numFmtId="0" fontId="0" fillId="2" borderId="1" xfId="0" applyNumberFormat="1" applyFont="1" applyFill="1" applyBorder="1" applyAlignment="1" applyProtection="1">
      <alignment horizontal="center" vertical="center"/>
    </xf>
    <xf numFmtId="0" fontId="0" fillId="8" borderId="1" xfId="0" applyNumberFormat="1" applyFont="1" applyFill="1" applyBorder="1" applyAlignment="1" applyProtection="1">
      <alignment horizontal="center" vertical="center"/>
    </xf>
    <xf numFmtId="0" fontId="0" fillId="10" borderId="1" xfId="0" applyNumberFormat="1" applyFont="1" applyFill="1" applyBorder="1" applyAlignment="1" applyProtection="1">
      <alignment horizontal="center" vertical="center"/>
      <protection locked="0"/>
    </xf>
    <xf numFmtId="0" fontId="12" fillId="9" borderId="1" xfId="0" applyNumberFormat="1" applyFont="1" applyFill="1" applyBorder="1" applyAlignment="1" applyProtection="1">
      <alignment horizontal="center" vertical="center"/>
      <protection locked="0"/>
    </xf>
    <xf numFmtId="0" fontId="0" fillId="5" borderId="1" xfId="0" applyNumberFormat="1" applyFont="1" applyFill="1" applyBorder="1" applyAlignment="1" applyProtection="1">
      <alignment horizontal="center" vertical="center"/>
    </xf>
    <xf numFmtId="0" fontId="0" fillId="9" borderId="1" xfId="0" applyNumberFormat="1" applyFont="1" applyFill="1" applyBorder="1" applyAlignment="1" applyProtection="1">
      <alignment horizontal="center" vertical="center"/>
      <protection locked="0"/>
    </xf>
    <xf numFmtId="0" fontId="0" fillId="7" borderId="1" xfId="0" applyNumberFormat="1" applyFont="1" applyFill="1" applyBorder="1" applyAlignment="1" applyProtection="1">
      <alignment horizontal="center" vertical="center"/>
    </xf>
    <xf numFmtId="179" fontId="0" fillId="7" borderId="1" xfId="0" applyNumberFormat="1" applyFont="1" applyFill="1" applyBorder="1" applyAlignment="1" applyProtection="1">
      <alignment horizontal="center" vertical="center"/>
    </xf>
    <xf numFmtId="0" fontId="13" fillId="0" borderId="1" xfId="0" applyNumberFormat="1" applyFont="1" applyFill="1" applyBorder="1" applyAlignment="1" applyProtection="1">
      <alignment horizontal="center" vertical="center"/>
    </xf>
    <xf numFmtId="0" fontId="11" fillId="7" borderId="1" xfId="0" applyNumberFormat="1" applyFont="1" applyFill="1" applyBorder="1" applyAlignment="1" applyProtection="1">
      <alignment vertical="center"/>
    </xf>
    <xf numFmtId="180" fontId="0" fillId="8" borderId="1" xfId="0" applyNumberFormat="1" applyFont="1" applyFill="1" applyBorder="1" applyAlignment="1" applyProtection="1">
      <alignment horizontal="center" vertical="center"/>
    </xf>
    <xf numFmtId="0" fontId="11" fillId="11" borderId="1" xfId="0" applyNumberFormat="1" applyFont="1" applyFill="1" applyBorder="1" applyAlignment="1" applyProtection="1">
      <alignment horizontal="center" vertical="center"/>
    </xf>
    <xf numFmtId="0" fontId="0" fillId="11" borderId="1" xfId="0" applyNumberFormat="1" applyFont="1" applyFill="1" applyBorder="1" applyAlignment="1" applyProtection="1">
      <alignment horizontal="center" vertical="center"/>
    </xf>
    <xf numFmtId="180" fontId="0" fillId="11" borderId="1" xfId="0" applyNumberFormat="1" applyFont="1" applyFill="1" applyBorder="1" applyAlignment="1" applyProtection="1">
      <alignment horizontal="center" vertical="center"/>
    </xf>
    <xf numFmtId="181" fontId="0" fillId="11" borderId="1" xfId="0" applyNumberFormat="1" applyFont="1" applyFill="1" applyBorder="1" applyAlignment="1" applyProtection="1">
      <alignment horizontal="center" vertical="center"/>
    </xf>
    <xf numFmtId="182" fontId="0" fillId="11" borderId="1" xfId="0" applyNumberFormat="1" applyFont="1" applyFill="1" applyBorder="1" applyAlignment="1" applyProtection="1">
      <alignment horizontal="center" vertical="center"/>
    </xf>
    <xf numFmtId="0" fontId="0" fillId="12" borderId="1" xfId="0" applyNumberFormat="1" applyFont="1" applyFill="1" applyBorder="1" applyAlignment="1" applyProtection="1">
      <alignment horizontal="center" vertical="center"/>
      <protection locked="0"/>
    </xf>
    <xf numFmtId="0" fontId="0" fillId="13" borderId="1" xfId="0" applyNumberFormat="1" applyFont="1" applyFill="1" applyBorder="1" applyAlignment="1" applyProtection="1">
      <alignment horizontal="center" vertical="center"/>
      <protection locked="0"/>
    </xf>
    <xf numFmtId="0" fontId="0" fillId="2" borderId="1" xfId="0" applyNumberFormat="1" applyFont="1" applyFill="1" applyBorder="1" applyAlignment="1" applyProtection="1">
      <alignment horizontal="center" vertical="center"/>
      <protection locked="0"/>
    </xf>
    <xf numFmtId="0" fontId="0" fillId="14" borderId="1" xfId="0" applyNumberFormat="1" applyFont="1" applyFill="1" applyBorder="1" applyAlignment="1" applyProtection="1">
      <alignment horizontal="center" vertical="center"/>
      <protection locked="0"/>
    </xf>
    <xf numFmtId="0" fontId="0" fillId="15" borderId="1" xfId="0" applyNumberFormat="1" applyFont="1" applyFill="1" applyBorder="1" applyAlignment="1" applyProtection="1">
      <alignment horizontal="center" vertical="center"/>
      <protection locked="0"/>
    </xf>
    <xf numFmtId="0" fontId="0" fillId="12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12" borderId="13" xfId="0" applyNumberFormat="1" applyFont="1" applyFill="1" applyBorder="1" applyAlignment="1" applyProtection="1">
      <alignment horizontal="center" vertical="center" wrapText="1"/>
      <protection locked="0"/>
    </xf>
    <xf numFmtId="0" fontId="0" fillId="12" borderId="14" xfId="0" applyNumberFormat="1" applyFont="1" applyFill="1" applyBorder="1" applyAlignment="1" applyProtection="1">
      <alignment horizontal="center" vertical="center" wrapText="1"/>
      <protection locked="0"/>
    </xf>
    <xf numFmtId="0" fontId="0" fillId="12" borderId="12" xfId="0" applyNumberFormat="1" applyFont="1" applyFill="1" applyBorder="1" applyAlignment="1" applyProtection="1">
      <alignment horizontal="center" vertical="center"/>
      <protection locked="0"/>
    </xf>
    <xf numFmtId="0" fontId="0" fillId="12" borderId="14" xfId="0" applyNumberFormat="1" applyFont="1" applyFill="1" applyBorder="1" applyAlignment="1" applyProtection="1">
      <alignment horizontal="center" vertical="center"/>
      <protection locked="0"/>
    </xf>
    <xf numFmtId="0" fontId="0" fillId="13" borderId="15" xfId="0" applyNumberFormat="1" applyFont="1" applyFill="1" applyBorder="1" applyAlignment="1" applyProtection="1">
      <alignment horizontal="center" vertical="center"/>
      <protection locked="0"/>
    </xf>
    <xf numFmtId="0" fontId="8" fillId="5" borderId="1" xfId="0" applyNumberFormat="1" applyFont="1" applyFill="1" applyBorder="1" applyAlignment="1" applyProtection="1">
      <alignment horizontal="center" vertical="center" wrapText="1"/>
      <protection locked="0"/>
    </xf>
    <xf numFmtId="0" fontId="11" fillId="0" borderId="7" xfId="0" applyNumberFormat="1" applyFont="1" applyFill="1" applyBorder="1" applyAlignment="1" applyProtection="1">
      <alignment vertical="center"/>
      <protection locked="0"/>
    </xf>
    <xf numFmtId="0" fontId="0" fillId="0" borderId="12" xfId="0" applyNumberFormat="1" applyFont="1" applyFill="1" applyBorder="1" applyAlignment="1" applyProtection="1">
      <alignment horizontal="center" vertical="center"/>
      <protection locked="0"/>
    </xf>
    <xf numFmtId="0" fontId="0" fillId="16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7" xfId="0" applyNumberFormat="1" applyFont="1" applyFill="1" applyBorder="1" applyAlignment="1" applyProtection="1">
      <alignment horizontal="center" vertical="center"/>
      <protection locked="0"/>
    </xf>
    <xf numFmtId="0" fontId="1" fillId="0" borderId="8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0" fillId="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8" xfId="0" applyNumberFormat="1" applyFont="1" applyFill="1" applyBorder="1" applyAlignment="1" applyProtection="1">
      <alignment horizontal="center" vertical="center"/>
      <protection locked="0"/>
    </xf>
    <xf numFmtId="0" fontId="13" fillId="0" borderId="15" xfId="0" applyNumberFormat="1" applyFont="1" applyFill="1" applyBorder="1" applyAlignment="1" applyProtection="1">
      <alignment horizontal="center" vertical="center"/>
      <protection locked="0"/>
    </xf>
    <xf numFmtId="0" fontId="13" fillId="0" borderId="8" xfId="0" applyNumberFormat="1" applyFont="1" applyFill="1" applyBorder="1" applyAlignment="1" applyProtection="1">
      <alignment horizontal="center" vertical="center"/>
      <protection locked="0"/>
    </xf>
    <xf numFmtId="0" fontId="13" fillId="0" borderId="7" xfId="0" applyNumberFormat="1" applyFont="1" applyFill="1" applyBorder="1" applyAlignment="1" applyProtection="1">
      <alignment horizontal="center" vertical="center"/>
      <protection locked="0"/>
    </xf>
    <xf numFmtId="0" fontId="0" fillId="0" borderId="15" xfId="0" applyNumberFormat="1" applyFont="1" applyFill="1" applyBorder="1" applyAlignment="1" applyProtection="1">
      <alignment horizontal="left" vertical="center"/>
      <protection locked="0"/>
    </xf>
    <xf numFmtId="0" fontId="0" fillId="0" borderId="8" xfId="0" applyNumberFormat="1" applyFont="1" applyFill="1" applyBorder="1" applyAlignment="1" applyProtection="1">
      <alignment horizontal="left" vertical="center"/>
      <protection locked="0"/>
    </xf>
    <xf numFmtId="0" fontId="0" fillId="0" borderId="7" xfId="0" applyNumberFormat="1" applyFont="1" applyFill="1" applyBorder="1" applyAlignment="1" applyProtection="1">
      <alignment horizontal="left" vertical="center"/>
      <protection locked="0"/>
    </xf>
    <xf numFmtId="4" fontId="0" fillId="15" borderId="1" xfId="0" applyNumberFormat="1" applyFont="1" applyFill="1" applyBorder="1" applyAlignment="1" applyProtection="1">
      <alignment horizontal="center" vertical="center"/>
      <protection locked="0"/>
    </xf>
    <xf numFmtId="0" fontId="0" fillId="5" borderId="1" xfId="0" applyNumberFormat="1" applyFont="1" applyFill="1" applyBorder="1" applyAlignment="1" applyProtection="1">
      <alignment horizontal="center" vertical="center"/>
      <protection locked="0"/>
    </xf>
    <xf numFmtId="0" fontId="0" fillId="5" borderId="12" xfId="0" applyNumberFormat="1" applyFont="1" applyFill="1" applyBorder="1" applyAlignment="1" applyProtection="1">
      <alignment horizontal="center" vertical="center"/>
      <protection locked="0"/>
    </xf>
    <xf numFmtId="0" fontId="0" fillId="5" borderId="13" xfId="0" applyNumberFormat="1" applyFont="1" applyFill="1" applyBorder="1" applyAlignment="1" applyProtection="1">
      <alignment horizontal="center" vertical="center"/>
      <protection locked="0"/>
    </xf>
    <xf numFmtId="0" fontId="0" fillId="5" borderId="14" xfId="0" applyNumberFormat="1" applyFont="1" applyFill="1" applyBorder="1" applyAlignment="1" applyProtection="1">
      <alignment horizontal="center" vertical="center"/>
      <protection locked="0"/>
    </xf>
    <xf numFmtId="2" fontId="0" fillId="5" borderId="1" xfId="0" applyNumberFormat="1" applyFont="1" applyFill="1" applyBorder="1" applyAlignment="1" applyProtection="1">
      <alignment horizontal="center" vertical="center"/>
      <protection locked="0"/>
    </xf>
    <xf numFmtId="0" fontId="10" fillId="7" borderId="15" xfId="0" applyNumberFormat="1" applyFont="1" applyFill="1" applyBorder="1" applyAlignment="1" applyProtection="1">
      <alignment horizontal="center" vertical="center"/>
    </xf>
    <xf numFmtId="0" fontId="10" fillId="7" borderId="8" xfId="0" applyNumberFormat="1" applyFont="1" applyFill="1" applyBorder="1" applyAlignment="1" applyProtection="1">
      <alignment horizontal="center" vertical="center"/>
    </xf>
    <xf numFmtId="0" fontId="11" fillId="8" borderId="15" xfId="0" applyNumberFormat="1" applyFont="1" applyFill="1" applyBorder="1" applyAlignment="1" applyProtection="1">
      <alignment horizontal="center" vertical="center"/>
    </xf>
    <xf numFmtId="0" fontId="11" fillId="8" borderId="8" xfId="0" applyNumberFormat="1" applyFont="1" applyFill="1" applyBorder="1" applyAlignment="1" applyProtection="1">
      <alignment horizontal="center" vertical="center"/>
    </xf>
    <xf numFmtId="183" fontId="14" fillId="0" borderId="1" xfId="0" applyNumberFormat="1" applyFont="1" applyFill="1" applyBorder="1" applyAlignment="1" applyProtection="1">
      <alignment horizontal="center" vertical="center"/>
      <protection locked="0"/>
    </xf>
    <xf numFmtId="184" fontId="14" fillId="0" borderId="1" xfId="0" applyNumberFormat="1" applyFont="1" applyFill="1" applyBorder="1" applyAlignment="1" applyProtection="1">
      <alignment horizontal="center" vertical="center"/>
      <protection locked="0"/>
    </xf>
    <xf numFmtId="185" fontId="14" fillId="0" borderId="1" xfId="0" applyNumberFormat="1" applyFont="1" applyFill="1" applyBorder="1" applyAlignment="1" applyProtection="1">
      <alignment horizontal="center" vertical="center"/>
      <protection locked="0"/>
    </xf>
    <xf numFmtId="186" fontId="14" fillId="0" borderId="1" xfId="0" applyNumberFormat="1" applyFont="1" applyFill="1" applyBorder="1" applyAlignment="1" applyProtection="1">
      <alignment horizontal="center" vertical="center"/>
      <protection locked="0"/>
    </xf>
    <xf numFmtId="187" fontId="14" fillId="0" borderId="1" xfId="0" applyNumberFormat="1" applyFont="1" applyFill="1" applyBorder="1" applyAlignment="1" applyProtection="1">
      <alignment horizontal="center" vertical="center"/>
    </xf>
    <xf numFmtId="0" fontId="11" fillId="0" borderId="1" xfId="0" applyNumberFormat="1" applyFont="1" applyFill="1" applyBorder="1" applyAlignment="1" applyProtection="1">
      <alignment vertical="center"/>
    </xf>
    <xf numFmtId="0" fontId="11" fillId="11" borderId="15" xfId="0" applyNumberFormat="1" applyFont="1" applyFill="1" applyBorder="1" applyAlignment="1" applyProtection="1">
      <alignment horizontal="center" vertical="center"/>
    </xf>
    <xf numFmtId="0" fontId="11" fillId="11" borderId="7" xfId="0" applyNumberFormat="1" applyFont="1" applyFill="1" applyBorder="1" applyAlignment="1" applyProtection="1">
      <alignment horizontal="center" vertical="center"/>
    </xf>
    <xf numFmtId="0" fontId="0" fillId="12" borderId="1" xfId="0" applyNumberFormat="1" applyFont="1" applyFill="1" applyBorder="1" applyAlignment="1" applyProtection="1">
      <alignment horizontal="center" vertical="center"/>
    </xf>
    <xf numFmtId="0" fontId="0" fillId="13" borderId="1" xfId="0" applyNumberFormat="1" applyFont="1" applyFill="1" applyBorder="1" applyAlignment="1" applyProtection="1">
      <alignment horizontal="center" vertical="center"/>
    </xf>
    <xf numFmtId="188" fontId="0" fillId="0" borderId="1" xfId="0" applyNumberFormat="1" applyFont="1" applyFill="1" applyBorder="1" applyAlignment="1" applyProtection="1">
      <alignment vertical="center" wrapText="1"/>
    </xf>
    <xf numFmtId="0" fontId="0" fillId="15" borderId="1" xfId="0" applyNumberFormat="1" applyFont="1" applyFill="1" applyBorder="1" applyAlignment="1" applyProtection="1">
      <alignment horizontal="center" vertical="center"/>
    </xf>
    <xf numFmtId="0" fontId="0" fillId="0" borderId="1" xfId="0" applyNumberFormat="1" applyFont="1" applyFill="1" applyBorder="1" applyAlignment="1" applyProtection="1">
      <alignment vertical="center" wrapText="1"/>
    </xf>
    <xf numFmtId="0" fontId="0" fillId="0" borderId="1" xfId="0" applyNumberFormat="1" applyFont="1" applyFill="1" applyBorder="1" applyAlignment="1" applyProtection="1">
      <alignment vertical="center"/>
    </xf>
    <xf numFmtId="0" fontId="11" fillId="0" borderId="7" xfId="0" applyNumberFormat="1" applyFont="1" applyFill="1" applyBorder="1" applyAlignment="1" applyProtection="1">
      <alignment vertical="center"/>
    </xf>
    <xf numFmtId="0" fontId="0" fillId="0" borderId="12" xfId="0" applyNumberFormat="1" applyFont="1" applyFill="1" applyBorder="1" applyAlignment="1" applyProtection="1">
      <alignment horizontal="center" vertical="center"/>
    </xf>
    <xf numFmtId="0" fontId="0" fillId="0" borderId="1" xfId="0" applyBorder="1" applyProtection="1">
      <alignment vertical="center"/>
    </xf>
    <xf numFmtId="0" fontId="0" fillId="0" borderId="7" xfId="0" applyNumberFormat="1" applyFont="1" applyFill="1" applyBorder="1" applyAlignment="1" applyProtection="1">
      <alignment horizontal="center" vertical="center"/>
    </xf>
    <xf numFmtId="0" fontId="0" fillId="0" borderId="1" xfId="0" applyNumberFormat="1" applyFont="1" applyFill="1" applyBorder="1" applyAlignment="1" applyProtection="1">
      <alignment horizontal="left" vertical="center"/>
      <protection locked="0"/>
    </xf>
    <xf numFmtId="0" fontId="0" fillId="0" borderId="12" xfId="0" applyBorder="1" applyAlignment="1" applyProtection="1">
      <alignment horizontal="centerContinuous" vertical="center"/>
    </xf>
    <xf numFmtId="0" fontId="0" fillId="0" borderId="7" xfId="0" applyNumberFormat="1" applyFont="1" applyFill="1" applyBorder="1" applyAlignment="1" applyProtection="1">
      <alignment horizontal="centerContinuous" vertical="center"/>
    </xf>
    <xf numFmtId="0" fontId="0" fillId="0" borderId="1" xfId="0" applyNumberFormat="1" applyFont="1" applyFill="1" applyBorder="1" applyAlignment="1" applyProtection="1">
      <alignment horizontal="centerContinuous" vertical="center"/>
    </xf>
    <xf numFmtId="14" fontId="0" fillId="0" borderId="1" xfId="0" applyNumberFormat="1" applyFont="1" applyFill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0" fillId="0" borderId="15" xfId="0" applyNumberFormat="1" applyFont="1" applyFill="1" applyBorder="1" applyAlignment="1" applyProtection="1">
      <alignment horizontal="center" vertical="center"/>
    </xf>
    <xf numFmtId="0" fontId="16" fillId="0" borderId="0" xfId="0" applyFont="1" applyProtection="1">
      <alignment vertical="center"/>
    </xf>
    <xf numFmtId="4" fontId="0" fillId="0" borderId="1" xfId="0" applyNumberFormat="1" applyFont="1" applyFill="1" applyBorder="1" applyAlignment="1" applyProtection="1">
      <alignment horizontal="center" vertical="center"/>
    </xf>
    <xf numFmtId="2" fontId="0" fillId="0" borderId="1" xfId="0" applyNumberFormat="1" applyFont="1" applyFill="1" applyBorder="1" applyAlignment="1" applyProtection="1">
      <alignment horizontal="center" vertical="center"/>
    </xf>
    <xf numFmtId="14" fontId="0" fillId="0" borderId="15" xfId="0" applyNumberFormat="1" applyFont="1" applyFill="1" applyBorder="1" applyAlignment="1" applyProtection="1">
      <alignment horizontal="center" vertic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Protection="1">
      <alignment vertical="center"/>
      <protection locked="0"/>
    </xf>
    <xf numFmtId="0" fontId="15" fillId="0" borderId="1" xfId="0" applyFont="1" applyBorder="1" applyProtection="1">
      <alignment vertical="center"/>
      <protection locked="0"/>
    </xf>
    <xf numFmtId="0" fontId="1" fillId="4" borderId="1" xfId="0" applyNumberFormat="1" applyFont="1" applyFill="1" applyBorder="1" applyAlignment="1" quotePrefix="1">
      <alignment vertical="center"/>
    </xf>
    <xf numFmtId="0" fontId="1" fillId="4" borderId="1" xfId="0" applyNumberFormat="1" applyFont="1" applyFill="1" applyBorder="1" applyAlignment="1" quotePrefix="1">
      <alignment vertical="center" wrapText="1"/>
    </xf>
    <xf numFmtId="0" fontId="1" fillId="4" borderId="8" xfId="0" applyNumberFormat="1" applyFont="1" applyFill="1" applyBorder="1" applyAlignment="1" quotePrefix="1">
      <alignment vertical="center" wrapText="1"/>
    </xf>
    <xf numFmtId="0" fontId="1" fillId="4" borderId="8" xfId="0" applyNumberFormat="1" applyFont="1" applyFill="1" applyBorder="1" applyAlignment="1" quotePrefix="1">
      <alignment vertical="center"/>
    </xf>
    <xf numFmtId="0" fontId="1" fillId="4" borderId="10" xfId="0" applyNumberFormat="1" applyFont="1" applyFill="1" applyBorder="1" applyAlignment="1" quotePrefix="1">
      <alignment vertical="center"/>
    </xf>
    <xf numFmtId="0" fontId="1" fillId="0" borderId="0" xfId="0" applyFont="1" applyFill="1" applyBorder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FFFF"/>
      <color rgb="0092D050"/>
      <color rgb="00FFC000"/>
      <color rgb="009BC2E6"/>
      <color rgb="00FFCC00"/>
      <color rgb="00FFFF00"/>
      <color rgb="00FF0000"/>
      <color rgb="00000000"/>
      <color rgb="00008000"/>
      <color rgb="0000B05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3/relationships/customStorage" Target="customStorage/customStorage.xml"/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359410</xdr:colOff>
      <xdr:row>2</xdr:row>
      <xdr:rowOff>26670</xdr:rowOff>
    </xdr:from>
    <xdr:to>
      <xdr:col>1</xdr:col>
      <xdr:colOff>495935</xdr:colOff>
      <xdr:row>2</xdr:row>
      <xdr:rowOff>169545</xdr:rowOff>
    </xdr:to>
    <xdr:pic>
      <xdr:nvPicPr>
        <xdr:cNvPr id="1369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02410" y="388620"/>
          <a:ext cx="136525" cy="1428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headEnd type="none" w="med" len="med"/>
          <a:tailEnd type="none" w="med" len="med"/>
        </a:ln>
      </a:spPr>
      <a:bodyPr/>
      <a:lstStyle/>
    </a:spDef>
  </a:objectDefaults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K57"/>
  <sheetViews>
    <sheetView tabSelected="1" zoomScale="130" zoomScaleNormal="130" workbookViewId="0">
      <selection activeCell="F24" sqref="F24"/>
    </sheetView>
  </sheetViews>
  <sheetFormatPr defaultColWidth="9" defaultRowHeight="14.25" customHeight="1"/>
  <cols>
    <col min="1" max="1" width="16.5333333333333" style="36" customWidth="1"/>
    <col min="2" max="2" width="11.25" style="36" customWidth="1"/>
    <col min="3" max="3" width="19.125" style="36" customWidth="1"/>
    <col min="4" max="4" width="16.0583333333333" style="36" customWidth="1"/>
    <col min="5" max="5" width="13.1666666666667" style="36" customWidth="1"/>
    <col min="6" max="6" width="19.125" style="36" customWidth="1"/>
    <col min="7" max="7" width="18.3583333333333" style="36" customWidth="1"/>
    <col min="8" max="8" width="13.55" style="36" customWidth="1"/>
    <col min="9" max="9" width="18.65" style="36" customWidth="1"/>
    <col min="10" max="10" width="10.375" style="36" customWidth="1"/>
    <col min="11" max="11" width="13.875" style="36" customWidth="1"/>
    <col min="12" max="13" width="9" style="36"/>
    <col min="14" max="14" width="9.375" style="36" customWidth="1"/>
    <col min="15" max="16384" width="9" style="36"/>
  </cols>
  <sheetData>
    <row r="1" customHeight="1" spans="1:5">
      <c r="A1" s="91" t="s">
        <v>0</v>
      </c>
      <c r="B1" s="92"/>
      <c r="D1" s="93" t="s">
        <v>1</v>
      </c>
      <c r="E1" s="94"/>
    </row>
    <row r="2" customHeight="1" spans="1:10">
      <c r="A2" s="38" t="s">
        <v>2</v>
      </c>
      <c r="B2" s="62">
        <v>500</v>
      </c>
      <c r="D2" s="38" t="s">
        <v>3</v>
      </c>
      <c r="E2" s="62">
        <v>7.4</v>
      </c>
      <c r="J2" s="119"/>
    </row>
    <row r="3" customHeight="1" spans="1:10">
      <c r="A3" s="38" t="s">
        <v>4</v>
      </c>
      <c r="B3" s="62">
        <v>250</v>
      </c>
      <c r="D3" s="38" t="s">
        <v>5</v>
      </c>
      <c r="E3" s="42">
        <f>E2-E7/2</f>
        <v>4.315</v>
      </c>
      <c r="J3" s="119"/>
    </row>
    <row r="4" customHeight="1" spans="1:10">
      <c r="A4" s="39" t="s">
        <v>6</v>
      </c>
      <c r="B4" s="62">
        <f>C4*C4/C5</f>
        <v>2.048</v>
      </c>
      <c r="C4" s="95">
        <v>25.6</v>
      </c>
      <c r="D4" s="38" t="s">
        <v>7</v>
      </c>
      <c r="E4" s="42">
        <f>B2-E2*2</f>
        <v>485.2</v>
      </c>
      <c r="J4" s="119"/>
    </row>
    <row r="5" customHeight="1" spans="1:10">
      <c r="A5" s="39" t="s">
        <v>8</v>
      </c>
      <c r="B5" s="62">
        <v>0.795</v>
      </c>
      <c r="C5" s="96" t="s">
        <v>9</v>
      </c>
      <c r="D5" s="38" t="s">
        <v>10</v>
      </c>
      <c r="E5" s="42">
        <f>B3-E2*2</f>
        <v>235.2</v>
      </c>
      <c r="J5" s="119"/>
    </row>
    <row r="6" customHeight="1" spans="1:5">
      <c r="A6" s="39" t="s">
        <v>11</v>
      </c>
      <c r="B6" s="62">
        <v>0.05</v>
      </c>
      <c r="C6" s="97">
        <f>ROUND(C5/C4,2)</f>
        <v>12.5</v>
      </c>
      <c r="D6" s="38" t="s">
        <v>12</v>
      </c>
      <c r="E6" s="62">
        <v>4</v>
      </c>
    </row>
    <row r="7" customHeight="1" spans="1:10">
      <c r="A7" s="39" t="s">
        <v>13</v>
      </c>
      <c r="B7" s="49">
        <f>B4*B6/B5*1000</f>
        <v>128.805031446541</v>
      </c>
      <c r="C7" s="98">
        <f>ROUND(C5/E14*100,2)</f>
        <v>0.26</v>
      </c>
      <c r="D7" s="38" t="s">
        <v>14</v>
      </c>
      <c r="E7" s="62">
        <v>6.17</v>
      </c>
      <c r="F7" s="99">
        <f>E7*E6*2+3+10</f>
        <v>62.36</v>
      </c>
      <c r="J7" s="119"/>
    </row>
    <row r="8" customHeight="1" spans="1:11">
      <c r="A8" s="39" t="s">
        <v>15</v>
      </c>
      <c r="B8" s="48">
        <v>0.0048</v>
      </c>
      <c r="D8" s="38" t="s">
        <v>16</v>
      </c>
      <c r="E8" s="52">
        <f>E6*E6*B7*E7</f>
        <v>12715.6327044025</v>
      </c>
      <c r="F8" s="100"/>
      <c r="K8" s="120"/>
    </row>
    <row r="9" customHeight="1" spans="1:10">
      <c r="A9" s="101" t="s">
        <v>17</v>
      </c>
      <c r="B9" s="102"/>
      <c r="C9" s="53" t="s">
        <v>18</v>
      </c>
      <c r="D9" s="101" t="s">
        <v>19</v>
      </c>
      <c r="E9" s="102"/>
      <c r="F9" s="53" t="s">
        <v>18</v>
      </c>
      <c r="J9" s="119"/>
    </row>
    <row r="10" customHeight="1" spans="1:11">
      <c r="A10" s="53" t="s">
        <v>20</v>
      </c>
      <c r="B10" s="55">
        <f>EVEN(E8/E4)</f>
        <v>28</v>
      </c>
      <c r="C10" s="42">
        <f>B10/(E6*2)</f>
        <v>3.5</v>
      </c>
      <c r="D10" s="53" t="s">
        <v>21</v>
      </c>
      <c r="E10" s="55">
        <f>EVEN(E8/E5)</f>
        <v>56</v>
      </c>
      <c r="F10" s="42">
        <f>E10/(E6*2)</f>
        <v>7</v>
      </c>
      <c r="K10" s="119"/>
    </row>
    <row r="11" customHeight="1" spans="1:11">
      <c r="A11" s="53" t="s">
        <v>22</v>
      </c>
      <c r="B11" s="56">
        <f>E5/(B10-1)</f>
        <v>8.71111111111111</v>
      </c>
      <c r="C11" s="42" t="str">
        <f>CONCATENATE(TRUNC((FLOOR($C$10,1)-1)*2*$E$6*$E$4/$E$6/$E$6/$B$7,2),"(↓)",ROUNDUP(((INT($C$10)+1)*2*$E$6-2+10^(-LEN(TEXT(ABS(ROUND($E$8,0)),"0"))))*$E$4/$E$6/$E$6/$B$7,2),"(↑)")</f>
        <v>3.76(↓)7.07(↑)</v>
      </c>
      <c r="D11" s="53" t="s">
        <v>22</v>
      </c>
      <c r="E11" s="56">
        <f>E4/(E10-1)</f>
        <v>8.82181818181818</v>
      </c>
      <c r="F11" s="42" t="str">
        <f>CONCATENATE(TRUNC((FLOOR($F$10,1)-1)*2*$E$6*$E$5/$E$6/$E$6/$B$7,2),"(↓)",ROUNDUP(((INT($F$10)+1)*2*$E$6-2+10^(-LEN(TEXT(ABS(ROUND($E$8,0)),"0"))))*$E$5/$E$6/$E$6/$B$7,2),"(↑)")</f>
        <v>5.47(↓)7.08(↑)</v>
      </c>
      <c r="K11" s="119"/>
    </row>
    <row r="12" customHeight="1" spans="1:11">
      <c r="A12" s="53" t="s">
        <v>23</v>
      </c>
      <c r="B12" s="56">
        <f>B11-E7</f>
        <v>2.54111111111111</v>
      </c>
      <c r="C12" s="42" t="str">
        <f>_xlfn.CONCAT(ROUNDUP((FLOOR($C$10,1)*2*$E$6-2+10^(-LEN(TEXT(ABS(ROUND($E$8,0)),"0"))))*$E$4/$E$6/$E$6/$B$7,2),"～",TRUNC(FLOOR($C$10,1)*2*$E$6*$E$4/$E$6/$E$6/$B$7,2))</f>
        <v>5.18～5.65</v>
      </c>
      <c r="D12" s="53" t="s">
        <v>23</v>
      </c>
      <c r="E12" s="56">
        <f>E11-E7</f>
        <v>2.65181818181818</v>
      </c>
      <c r="F12" s="42" t="str">
        <f>_xlfn.CONCAT(ROUNDUP((FLOOR($F$10,1)*2*$E$6-2+10^(-LEN(TEXT(ABS(ROUND($E$8,0)),"0"))))*$E$5/$E$6/$E$6/$B$7,2),"～",TRUNC(FLOOR($F$10,1)*2*$E$6*$E$5/$E$6/$E$6/$B$7,2))</f>
        <v>6.17～6.39</v>
      </c>
      <c r="K12" s="119"/>
    </row>
    <row r="13" s="35" customFormat="1" customHeight="1" spans="1:11">
      <c r="A13" s="103" t="s">
        <v>24</v>
      </c>
      <c r="B13" s="104">
        <f>B2*B3</f>
        <v>125000</v>
      </c>
      <c r="C13" s="36"/>
      <c r="D13" s="103" t="s">
        <v>24</v>
      </c>
      <c r="E13" s="104">
        <f>B2*B3</f>
        <v>125000</v>
      </c>
      <c r="F13" s="36"/>
      <c r="G13" s="36"/>
      <c r="H13" s="105"/>
      <c r="I13" s="121"/>
      <c r="J13" s="36"/>
      <c r="K13" s="36"/>
    </row>
    <row r="14" s="35" customFormat="1" customHeight="1" spans="1:11">
      <c r="A14" s="103" t="s">
        <v>25</v>
      </c>
      <c r="B14" s="106">
        <f>E14</f>
        <v>125000</v>
      </c>
      <c r="C14" s="36"/>
      <c r="D14" s="103" t="s">
        <v>25</v>
      </c>
      <c r="E14" s="62">
        <f>B2*B3</f>
        <v>125000</v>
      </c>
      <c r="F14" s="36"/>
      <c r="G14" s="36"/>
      <c r="H14" s="107"/>
      <c r="I14" s="108"/>
      <c r="J14" s="36"/>
      <c r="K14" s="36"/>
    </row>
    <row r="15" s="35" customFormat="1" customHeight="1" spans="1:11">
      <c r="A15" s="103" t="s">
        <v>26</v>
      </c>
      <c r="B15" s="104">
        <f>(1-B14/B13)+B8</f>
        <v>0.0048</v>
      </c>
      <c r="C15" s="36"/>
      <c r="D15" s="103" t="s">
        <v>26</v>
      </c>
      <c r="E15" s="104">
        <f>(1-E14/E13)+B8</f>
        <v>0.0048</v>
      </c>
      <c r="F15" s="36"/>
      <c r="G15" s="36"/>
      <c r="H15" s="107"/>
      <c r="I15" s="108"/>
      <c r="J15" s="36"/>
      <c r="K15" s="36"/>
    </row>
    <row r="16" s="35" customFormat="1" customHeight="1" spans="1:11">
      <c r="A16" s="103" t="s">
        <v>27</v>
      </c>
      <c r="B16" s="104">
        <f>E7</f>
        <v>6.17</v>
      </c>
      <c r="C16" s="36"/>
      <c r="D16" s="103" t="s">
        <v>27</v>
      </c>
      <c r="E16" s="104">
        <f>E7</f>
        <v>6.17</v>
      </c>
      <c r="F16" s="36"/>
      <c r="G16" s="36"/>
      <c r="H16" s="36"/>
      <c r="I16" s="108"/>
      <c r="J16" s="36"/>
      <c r="K16" s="36"/>
    </row>
    <row r="17" s="35" customFormat="1" customHeight="1" spans="1:11">
      <c r="A17" s="103" t="s">
        <v>28</v>
      </c>
      <c r="B17" s="42">
        <f>B16-(B16*B15)</f>
        <v>6.140384</v>
      </c>
      <c r="C17" s="36"/>
      <c r="D17" s="103" t="s">
        <v>28</v>
      </c>
      <c r="E17" s="42">
        <f>E16-(E16*E15)</f>
        <v>6.140384</v>
      </c>
      <c r="F17" s="36"/>
      <c r="G17" s="36"/>
      <c r="H17" s="108"/>
      <c r="I17" s="36"/>
      <c r="J17" s="36"/>
      <c r="K17" s="36"/>
    </row>
    <row r="18" s="35" customFormat="1" customHeight="1" spans="1:11">
      <c r="A18" s="103" t="s">
        <v>29</v>
      </c>
      <c r="B18" s="42">
        <f>B11-B17</f>
        <v>2.57072711111111</v>
      </c>
      <c r="C18" s="36"/>
      <c r="D18" s="103" t="s">
        <v>29</v>
      </c>
      <c r="E18" s="42">
        <f>E11-E17</f>
        <v>2.68143418181818</v>
      </c>
      <c r="F18" s="36"/>
      <c r="G18" s="36"/>
      <c r="H18" s="36"/>
      <c r="I18" s="122"/>
      <c r="J18" s="36"/>
      <c r="K18" s="36"/>
    </row>
    <row r="19" s="35" customFormat="1" customHeight="1" spans="1:11">
      <c r="A19" s="103" t="s">
        <v>30</v>
      </c>
      <c r="B19" s="42">
        <f>B17/B18</f>
        <v>2.38857869178733</v>
      </c>
      <c r="C19" s="109"/>
      <c r="D19" s="103" t="s">
        <v>30</v>
      </c>
      <c r="E19" s="42">
        <f>E17/E18</f>
        <v>2.28996260345888</v>
      </c>
      <c r="F19" s="110"/>
      <c r="G19" s="36"/>
      <c r="H19" s="36"/>
      <c r="I19" s="36"/>
      <c r="J19" s="36"/>
      <c r="K19" s="36"/>
    </row>
    <row r="20" s="35" customFormat="1" customHeight="1" spans="1:11">
      <c r="A20" s="111"/>
      <c r="B20" s="111"/>
      <c r="C20" s="112"/>
      <c r="D20" s="36" t="s">
        <v>31</v>
      </c>
      <c r="E20" s="113" t="str">
        <f>CONCATENATE("R",(ROUND($B$4,2)),"Ω±",(MID($D20,5,1)),"%(R",ROUND(ROUND($B$4,2)*(1-(MID($D20,5,1)*0.01)),2),"-",ROUND($B$4,2),"-",ROUND(ROUND($B$4,2)*(1+(MID($D20,5,1)*0.01)),2),"Ω)")</f>
        <v>R2.05Ω±4%(R1.97-2.05-2.13Ω)</v>
      </c>
      <c r="F20" s="36"/>
      <c r="G20" s="36"/>
      <c r="H20" s="36"/>
      <c r="I20" s="36"/>
      <c r="J20" s="36"/>
      <c r="K20" s="36"/>
    </row>
    <row r="21" s="35" customFormat="1" customHeight="1" spans="1:11">
      <c r="A21" s="111"/>
      <c r="B21" s="111"/>
      <c r="C21" s="112"/>
      <c r="D21" s="36" t="s">
        <v>32</v>
      </c>
      <c r="E21" s="113" t="str">
        <f>CONCATENATE("R",(ROUND($B$4,2)),"Ω±",(MID($D21,5,1)),"%(R",ROUND(ROUND($B$4,2)*(1-(MID($D21,5,1)*0.01)),2),"-",ROUND($B$4,2),"-",ROUND(ROUND($B$4,2)*(1+(MID($D21,5,1)*0.01)),2),"Ω)")</f>
        <v>R2.05Ω±5%(R1.95-2.05-2.15Ω)</v>
      </c>
      <c r="F21" s="36"/>
      <c r="G21" s="36"/>
      <c r="H21" s="36"/>
      <c r="I21" s="36"/>
      <c r="J21" s="36"/>
      <c r="K21" s="119" t="s">
        <v>33</v>
      </c>
    </row>
    <row r="22" s="35" customFormat="1" customHeight="1" spans="1:11">
      <c r="A22" s="114" t="s">
        <v>34</v>
      </c>
      <c r="B22" s="114"/>
      <c r="C22" s="115"/>
      <c r="D22" s="116"/>
      <c r="E22" s="116"/>
      <c r="F22" s="116"/>
      <c r="G22" s="36"/>
      <c r="H22" s="36"/>
      <c r="I22" s="36"/>
      <c r="J22" s="36"/>
      <c r="K22" s="123">
        <v>46199</v>
      </c>
    </row>
    <row r="23" s="35" customFormat="1" customHeight="1" spans="1:11">
      <c r="A23" s="35" t="s">
        <v>35</v>
      </c>
      <c r="B23" s="117">
        <f ca="1">TODAY()</f>
        <v>46266</v>
      </c>
      <c r="C23" s="35" t="str">
        <f>E20</f>
        <v>R2.05Ω±4%(R1.97-2.05-2.13Ω)</v>
      </c>
      <c r="D23" s="35" t="str">
        <f>_xlfn.CONCAT(B2,"*",B3)</f>
        <v>500*250</v>
      </c>
      <c r="E23" s="118" t="str">
        <f>_xlfn.CONCAT("SUS304 ",B6,"T(",B5,")")</f>
        <v>SUS304 0.05T(0.795)</v>
      </c>
      <c r="F23" s="35" t="s">
        <v>36</v>
      </c>
      <c r="G23" s="118" t="s">
        <v>37</v>
      </c>
      <c r="H23" s="118"/>
      <c r="I23" s="124"/>
      <c r="J23" s="125"/>
      <c r="K23" s="126" t="s">
        <v>38</v>
      </c>
    </row>
    <row r="24" s="35" customFormat="1" customHeight="1"/>
    <row r="25" s="35" customFormat="1" customHeight="1"/>
    <row r="26" s="35" customFormat="1" customHeight="1"/>
    <row r="27" s="35" customFormat="1" customHeight="1"/>
    <row r="28" s="35" customFormat="1" customHeight="1"/>
    <row r="29" s="35" customFormat="1" customHeight="1"/>
    <row r="30" s="35" customFormat="1" customHeight="1"/>
    <row r="31" s="35" customFormat="1" customHeight="1"/>
    <row r="32" s="35" customFormat="1" customHeight="1"/>
    <row r="33" s="35" customFormat="1" customHeight="1"/>
    <row r="34" s="35" customFormat="1" customHeight="1"/>
    <row r="35" s="35" customFormat="1" customHeight="1"/>
    <row r="36" s="35" customFormat="1" customHeight="1"/>
    <row r="37" s="35" customFormat="1" customHeight="1"/>
    <row r="38" s="35" customFormat="1" customHeight="1"/>
    <row r="39" s="35" customFormat="1" customHeight="1"/>
    <row r="40" s="35" customFormat="1" customHeight="1"/>
    <row r="41" s="35" customFormat="1" customHeight="1"/>
    <row r="42" s="35" customFormat="1" customHeight="1"/>
    <row r="43" s="35" customFormat="1" customHeight="1"/>
    <row r="44" s="35" customFormat="1" customHeight="1"/>
    <row r="45" s="35" customFormat="1" customHeight="1"/>
    <row r="46" s="35" customFormat="1" customHeight="1"/>
    <row r="47" s="35" customFormat="1" customHeight="1"/>
    <row r="48" s="35" customFormat="1" customHeight="1"/>
    <row r="49" s="35" customFormat="1" customHeight="1"/>
    <row r="50" s="35" customFormat="1" customHeight="1"/>
    <row r="51" s="35" customFormat="1" customHeight="1"/>
    <row r="52" s="35" customFormat="1" customHeight="1"/>
    <row r="53" s="35" customFormat="1" customHeight="1"/>
    <row r="54" s="35" customFormat="1" customHeight="1"/>
    <row r="55" s="35" customFormat="1" customHeight="1"/>
    <row r="56" s="35" customFormat="1" customHeight="1"/>
    <row r="57" s="35" customFormat="1" customHeight="1" spans="7:8">
      <c r="G57" s="36"/>
      <c r="H57" s="36"/>
    </row>
  </sheetData>
  <sheetProtection selectLockedCells="1"/>
  <mergeCells count="4">
    <mergeCell ref="A1:B1"/>
    <mergeCell ref="D1:E1"/>
    <mergeCell ref="A9:B9"/>
    <mergeCell ref="D9:E9"/>
  </mergeCells>
  <pageMargins left="0.75" right="0.75" top="1" bottom="1" header="0.511111111111111" footer="0.511111111111111"/>
  <pageSetup paperSize="9" orientation="portrait"/>
  <headerFooter alignWithMargins="0" scaleWithDoc="0"/>
  <ignoredErrors>
    <ignoredError sqref="C23 B4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N60"/>
  <sheetViews>
    <sheetView zoomScale="130" zoomScaleNormal="130" workbookViewId="0">
      <selection activeCell="A31" sqref="A31"/>
    </sheetView>
  </sheetViews>
  <sheetFormatPr defaultColWidth="9" defaultRowHeight="14.25" customHeight="1"/>
  <cols>
    <col min="1" max="1" width="15" style="36" customWidth="1"/>
    <col min="2" max="2" width="11.225" style="36" customWidth="1"/>
    <col min="3" max="3" width="10.4583333333333" style="36" customWidth="1"/>
    <col min="4" max="4" width="15.5833333333333" style="36" customWidth="1"/>
    <col min="5" max="5" width="11.5833333333333" style="36" customWidth="1"/>
    <col min="6" max="6" width="10.5833333333333" style="36" customWidth="1"/>
    <col min="7" max="7" width="4.25" style="36" customWidth="1"/>
    <col min="8" max="8" width="12.2" style="36" customWidth="1"/>
    <col min="9" max="9" width="18.2666666666667" style="36" customWidth="1"/>
    <col min="10" max="10" width="13.3583333333333" style="36" customWidth="1"/>
    <col min="11" max="11" width="13.8333333333333" style="36" customWidth="1"/>
    <col min="12" max="16384" width="9" style="36"/>
  </cols>
  <sheetData>
    <row r="1" customHeight="1" spans="1:13">
      <c r="A1" s="37" t="s">
        <v>39</v>
      </c>
      <c r="B1" s="37"/>
      <c r="C1" s="37"/>
      <c r="D1" s="37"/>
      <c r="E1" s="38" t="s">
        <v>40</v>
      </c>
      <c r="F1" s="38"/>
      <c r="G1" s="38"/>
      <c r="H1" s="36" t="s">
        <v>3</v>
      </c>
      <c r="I1" s="36" t="s">
        <v>41</v>
      </c>
      <c r="K1" s="77"/>
      <c r="L1" s="78"/>
      <c r="M1" s="73"/>
    </row>
    <row r="2" customHeight="1" spans="1:13">
      <c r="A2" s="39" t="s">
        <v>42</v>
      </c>
      <c r="B2" s="40" t="s">
        <v>43</v>
      </c>
      <c r="C2" s="41">
        <f>30*30/50</f>
        <v>18</v>
      </c>
      <c r="D2" s="40" t="s">
        <v>44</v>
      </c>
      <c r="E2" s="38" t="s">
        <v>41</v>
      </c>
      <c r="F2" s="42">
        <f>I2-H2*2</f>
        <v>147.8</v>
      </c>
      <c r="G2" s="43" t="s">
        <v>45</v>
      </c>
      <c r="H2" s="44">
        <v>6.1</v>
      </c>
      <c r="I2" s="44">
        <v>160</v>
      </c>
      <c r="K2" s="77"/>
      <c r="L2" s="78"/>
      <c r="M2" s="73"/>
    </row>
    <row r="3" customHeight="1" spans="1:13">
      <c r="A3" s="39" t="s">
        <v>46</v>
      </c>
      <c r="B3" s="40"/>
      <c r="C3" s="45">
        <v>0.795</v>
      </c>
      <c r="D3" s="40" t="s">
        <v>47</v>
      </c>
      <c r="E3" s="38" t="s">
        <v>48</v>
      </c>
      <c r="F3" s="42">
        <f>I3-H2*2</f>
        <v>47.8</v>
      </c>
      <c r="G3" s="43" t="s">
        <v>45</v>
      </c>
      <c r="H3" s="46">
        <f>H2-H7</f>
        <v>0.97</v>
      </c>
      <c r="I3" s="44">
        <v>60</v>
      </c>
      <c r="K3" s="77"/>
      <c r="L3" s="78"/>
      <c r="M3" s="73"/>
    </row>
    <row r="4" customHeight="1" spans="1:13">
      <c r="A4" s="39" t="s">
        <v>49</v>
      </c>
      <c r="B4" s="40" t="s">
        <v>50</v>
      </c>
      <c r="C4" s="45">
        <v>0.05</v>
      </c>
      <c r="D4" s="40" t="s">
        <v>45</v>
      </c>
      <c r="E4" s="38" t="s">
        <v>51</v>
      </c>
      <c r="F4" s="47">
        <v>1</v>
      </c>
      <c r="G4" s="43" t="s">
        <v>52</v>
      </c>
      <c r="H4" s="42">
        <f>H2-H6</f>
        <v>5.13</v>
      </c>
      <c r="I4" s="35" t="s">
        <v>48</v>
      </c>
      <c r="K4" s="77" t="s">
        <v>53</v>
      </c>
      <c r="L4" s="78"/>
      <c r="M4" s="73"/>
    </row>
    <row r="5" customHeight="1" spans="1:13">
      <c r="A5" s="39" t="s">
        <v>54</v>
      </c>
      <c r="B5" s="48" t="s">
        <v>55</v>
      </c>
      <c r="C5" s="49">
        <f>C2*C4/C3*1000</f>
        <v>1132.07547169811</v>
      </c>
      <c r="D5" s="40" t="s">
        <v>45</v>
      </c>
      <c r="E5" s="38" t="s">
        <v>27</v>
      </c>
      <c r="F5" s="47">
        <v>1.94</v>
      </c>
      <c r="G5" s="43" t="s">
        <v>45</v>
      </c>
      <c r="H5" s="50" t="s">
        <v>56</v>
      </c>
      <c r="J5" s="35"/>
      <c r="K5" s="79"/>
      <c r="L5" s="80"/>
      <c r="M5" s="81"/>
    </row>
    <row r="6" customHeight="1" spans="1:13">
      <c r="A6" s="48"/>
      <c r="B6" s="51"/>
      <c r="C6" s="51"/>
      <c r="D6" s="51"/>
      <c r="E6" s="38" t="s">
        <v>57</v>
      </c>
      <c r="F6" s="52">
        <f>F4*F4*C5*F5</f>
        <v>2196.22641509434</v>
      </c>
      <c r="G6" s="43" t="s">
        <v>45</v>
      </c>
      <c r="H6" s="42">
        <f>F5/2</f>
        <v>0.97</v>
      </c>
      <c r="J6" s="35"/>
      <c r="K6" s="77"/>
      <c r="L6" s="78"/>
      <c r="M6" s="73"/>
    </row>
    <row r="7" customHeight="1" spans="1:13">
      <c r="A7" s="53" t="s">
        <v>58</v>
      </c>
      <c r="B7" s="53"/>
      <c r="C7" s="53"/>
      <c r="D7" s="53"/>
      <c r="E7" s="53"/>
      <c r="F7" s="53"/>
      <c r="G7" s="53"/>
      <c r="H7" s="46">
        <f>H4-I7</f>
        <v>5.13</v>
      </c>
      <c r="J7" s="35"/>
      <c r="K7" s="77"/>
      <c r="L7" s="78"/>
      <c r="M7" s="73"/>
    </row>
    <row r="8" customHeight="1" spans="1:13">
      <c r="A8" s="53" t="s">
        <v>17</v>
      </c>
      <c r="B8" s="53"/>
      <c r="C8" s="53"/>
      <c r="D8" s="53" t="s">
        <v>19</v>
      </c>
      <c r="E8" s="53"/>
      <c r="F8" s="53"/>
      <c r="G8" s="54"/>
      <c r="H8" s="42" t="s">
        <v>59</v>
      </c>
      <c r="J8" s="35"/>
      <c r="K8" s="77"/>
      <c r="L8" s="78"/>
      <c r="M8" s="73"/>
    </row>
    <row r="9" customHeight="1" spans="1:13">
      <c r="A9" s="53" t="s">
        <v>21</v>
      </c>
      <c r="B9" s="55">
        <f>EVEN(F6/F2)</f>
        <v>16</v>
      </c>
      <c r="C9" s="54" t="s">
        <v>60</v>
      </c>
      <c r="D9" s="53" t="s">
        <v>21</v>
      </c>
      <c r="E9" s="55">
        <f>EVEN(F6/F3)</f>
        <v>46</v>
      </c>
      <c r="F9" s="54" t="s">
        <v>60</v>
      </c>
      <c r="G9" s="54"/>
      <c r="H9" s="42">
        <f>E9/(F4*2)</f>
        <v>23</v>
      </c>
      <c r="I9" s="42" t="str">
        <f>CONCATENATE(TRUNC((FLOOR($H$9,1)-1)*2*$F$4*$F$3/$F$4/$F$4/$C$5,2),"(↓)",ROUNDUP(((INT($H$9)+1)*2*$F$4-2+10^(-LEN(TEXT(ABS(ROUND($F$6,0)),"0"))))*$F$3/$F$4/$F$4/$C$5,2),"(↑)")</f>
        <v>1.85(↓)1.95(↑)</v>
      </c>
      <c r="J9" s="42" t="str">
        <f>_xlfn.CONCAT(ROUNDUP((FLOOR($H$9,1)*2*$F$4-2+10^(-LEN(TEXT(ABS(ROUND($F$6,0)),"0"))))*$F$3/$F$4/$F$4/$C$5,2),"～",TRUNC(FLOOR($H$9,1)*2*$F$4*$F$3/$F$4/$F$4/$C$5,2))</f>
        <v>1.86～1.94</v>
      </c>
      <c r="K9" s="77"/>
      <c r="L9" s="78"/>
      <c r="M9" s="73"/>
    </row>
    <row r="10" customHeight="1" spans="1:13">
      <c r="A10" s="53" t="s">
        <v>61</v>
      </c>
      <c r="B10" s="56">
        <f>F3/(B9-1)</f>
        <v>3.18666666666667</v>
      </c>
      <c r="C10" s="54" t="s">
        <v>45</v>
      </c>
      <c r="D10" s="53" t="s">
        <v>61</v>
      </c>
      <c r="E10" s="56">
        <f>F2/(E9-1)</f>
        <v>3.28444444444444</v>
      </c>
      <c r="F10" s="54" t="s">
        <v>45</v>
      </c>
      <c r="G10" s="54"/>
      <c r="H10" s="42">
        <f>B9/(F4*2)</f>
        <v>8</v>
      </c>
      <c r="I10" s="42" t="str">
        <f>CONCATENATE(TRUNC((FLOOR($H$10,1)-1)*2*$F$4*$F$2/$F$4/$F$4/$C$5,2),"(↓)",ROUNDUP(((INT($H$10)+1)*2*$F$4-2+10^(-LEN(TEXT(ABS(ROUND($F$6,0)),"0"))))*$F$2/$F$4/$F$4/$C$5,2),"(↑)")</f>
        <v>1.82(↓)2.09(↑)</v>
      </c>
      <c r="J10" s="42" t="str">
        <f>_xlfn.CONCAT(ROUNDUP((FLOOR($H$10,1)*2*$F$4-2+10^(-LEN(TEXT(ABS(ROUND($F$6,0)),"0"))))*$F$2/$F$4/$F$4/$C$5,2),"～",TRUNC(FLOOR($H$10,1)*2*$F$4*$F$2/$F$4/$F$4/$C$5,2))</f>
        <v>1.83～2.08</v>
      </c>
      <c r="K10" s="77" t="s">
        <v>62</v>
      </c>
      <c r="L10" s="78"/>
      <c r="M10" s="73"/>
    </row>
    <row r="11" customHeight="1" spans="1:13">
      <c r="A11" s="53" t="s">
        <v>63</v>
      </c>
      <c r="B11" s="56">
        <f>B10-F5</f>
        <v>1.24666666666667</v>
      </c>
      <c r="C11" s="54" t="s">
        <v>45</v>
      </c>
      <c r="D11" s="53" t="s">
        <v>63</v>
      </c>
      <c r="E11" s="56">
        <f>E10-F5</f>
        <v>1.34444444444444</v>
      </c>
      <c r="F11" s="54" t="s">
        <v>45</v>
      </c>
      <c r="G11" s="54"/>
      <c r="H11" s="35"/>
      <c r="J11" s="35"/>
      <c r="K11" s="77" t="s">
        <v>64</v>
      </c>
      <c r="L11" s="78"/>
      <c r="M11" s="73"/>
    </row>
    <row r="12" customHeight="1" spans="1:14">
      <c r="A12" s="53" t="s">
        <v>65</v>
      </c>
      <c r="B12" s="57">
        <f>B10/2</f>
        <v>1.59333333333333</v>
      </c>
      <c r="C12" s="54" t="s">
        <v>45</v>
      </c>
      <c r="D12" s="53" t="s">
        <v>65</v>
      </c>
      <c r="E12" s="57">
        <f>E10/2</f>
        <v>1.64222222222222</v>
      </c>
      <c r="F12" s="54" t="s">
        <v>45</v>
      </c>
      <c r="G12" s="54"/>
      <c r="H12" s="35"/>
      <c r="J12" s="82" t="s">
        <v>66</v>
      </c>
      <c r="K12" s="83"/>
      <c r="L12" s="83"/>
      <c r="M12" s="83"/>
      <c r="N12" s="84"/>
    </row>
    <row r="13" s="35" customFormat="1" customHeight="1"/>
    <row r="14" s="35" customFormat="1" customHeight="1" spans="1:10">
      <c r="A14" s="58" t="s">
        <v>24</v>
      </c>
      <c r="B14" s="59">
        <f>I2*I3</f>
        <v>9600</v>
      </c>
      <c r="C14" s="60" t="s">
        <v>67</v>
      </c>
      <c r="D14" s="58" t="s">
        <v>24</v>
      </c>
      <c r="E14" s="59">
        <f>I2*I3</f>
        <v>9600</v>
      </c>
      <c r="F14" s="60" t="s">
        <v>67</v>
      </c>
      <c r="H14" s="58" t="s">
        <v>68</v>
      </c>
      <c r="I14" s="85">
        <v>7731.18795</v>
      </c>
      <c r="J14" s="86" t="s">
        <v>69</v>
      </c>
    </row>
    <row r="15" s="35" customFormat="1" customHeight="1" spans="1:10">
      <c r="A15" s="58" t="s">
        <v>25</v>
      </c>
      <c r="B15" s="61">
        <f>E15</f>
        <v>9600</v>
      </c>
      <c r="C15" s="60">
        <f>B15-B20</f>
        <v>9600</v>
      </c>
      <c r="D15" s="58" t="s">
        <v>25</v>
      </c>
      <c r="E15" s="62">
        <f>I2*I3</f>
        <v>9600</v>
      </c>
      <c r="F15" s="60">
        <f>E15-E20</f>
        <v>9600</v>
      </c>
      <c r="H15" s="63" t="s">
        <v>70</v>
      </c>
      <c r="I15" s="87">
        <f>I14/1000*C3/C4/C2/F4/2</f>
        <v>3.41460801125</v>
      </c>
      <c r="J15" s="86">
        <f>I15*2</f>
        <v>6.8292160225</v>
      </c>
    </row>
    <row r="16" s="35" customFormat="1" customHeight="1" spans="1:9">
      <c r="A16" s="58" t="s">
        <v>26</v>
      </c>
      <c r="B16" s="59">
        <f>(1-C15/B14)+C17</f>
        <v>0.0048</v>
      </c>
      <c r="C16" s="59" t="s">
        <v>15</v>
      </c>
      <c r="D16" s="58" t="s">
        <v>26</v>
      </c>
      <c r="E16" s="59">
        <f>(1-F15/E14)+F17</f>
        <v>0.0048</v>
      </c>
      <c r="F16" s="59" t="s">
        <v>15</v>
      </c>
      <c r="H16" s="64"/>
      <c r="I16" s="88"/>
    </row>
    <row r="17" s="35" customFormat="1" customHeight="1" spans="1:9">
      <c r="A17" s="58" t="s">
        <v>27</v>
      </c>
      <c r="B17" s="59">
        <f>F5</f>
        <v>1.94</v>
      </c>
      <c r="C17" s="59">
        <v>0.0048</v>
      </c>
      <c r="D17" s="58" t="s">
        <v>27</v>
      </c>
      <c r="E17" s="59">
        <f>F5</f>
        <v>1.94</v>
      </c>
      <c r="F17" s="59">
        <v>0.0048</v>
      </c>
      <c r="H17" s="65"/>
      <c r="I17" s="89"/>
    </row>
    <row r="18" s="35" customFormat="1" customHeight="1" spans="1:9">
      <c r="A18" s="58" t="s">
        <v>28</v>
      </c>
      <c r="B18" s="60">
        <f>B17-(B17*B16)</f>
        <v>1.930688</v>
      </c>
      <c r="C18" s="62">
        <v>0</v>
      </c>
      <c r="D18" s="58" t="s">
        <v>28</v>
      </c>
      <c r="E18" s="60">
        <f>E17-(E17*E16)</f>
        <v>1.930688</v>
      </c>
      <c r="F18" s="62">
        <v>0</v>
      </c>
      <c r="H18" s="58"/>
      <c r="I18" s="86"/>
    </row>
    <row r="19" s="35" customFormat="1" customHeight="1" spans="1:9">
      <c r="A19" s="58" t="s">
        <v>29</v>
      </c>
      <c r="B19" s="60">
        <f>B10-B18</f>
        <v>1.25597866666667</v>
      </c>
      <c r="C19" s="62">
        <v>0</v>
      </c>
      <c r="D19" s="58" t="s">
        <v>29</v>
      </c>
      <c r="E19" s="60">
        <f>E10-E18</f>
        <v>1.35375644444444</v>
      </c>
      <c r="F19" s="62">
        <v>0</v>
      </c>
      <c r="H19" s="66" t="s">
        <v>71</v>
      </c>
      <c r="I19" s="90">
        <f>C2-(C2*0.04)</f>
        <v>17.28</v>
      </c>
    </row>
    <row r="20" s="35" customFormat="1" customHeight="1" spans="1:9">
      <c r="A20" s="58" t="s">
        <v>72</v>
      </c>
      <c r="B20" s="61">
        <f>C18+C19+C20</f>
        <v>0</v>
      </c>
      <c r="C20" s="62">
        <v>0</v>
      </c>
      <c r="D20" s="58" t="s">
        <v>72</v>
      </c>
      <c r="E20" s="61">
        <f>F18+F19+F20</f>
        <v>0</v>
      </c>
      <c r="F20" s="62">
        <v>0</v>
      </c>
      <c r="H20" s="67"/>
      <c r="I20" s="90">
        <f>C2+(C2*0.04)</f>
        <v>18.72</v>
      </c>
    </row>
    <row r="21" s="35" customFormat="1" customHeight="1"/>
    <row r="22" s="35" customFormat="1" customHeight="1" spans="1:6">
      <c r="A22" s="68" t="s">
        <v>73</v>
      </c>
      <c r="B22" s="69" t="s">
        <v>74</v>
      </c>
      <c r="C22" s="70"/>
      <c r="D22" s="35" t="s">
        <v>30</v>
      </c>
      <c r="E22" s="71">
        <f>E18/E19</f>
        <v>1.42617086546341</v>
      </c>
      <c r="F22" s="71"/>
    </row>
    <row r="23" s="35" customFormat="1" customHeight="1" spans="1:8">
      <c r="A23" s="72">
        <v>0.045</v>
      </c>
      <c r="B23" s="69"/>
      <c r="C23" s="73"/>
      <c r="D23" s="35" t="s">
        <v>31</v>
      </c>
      <c r="E23" s="74" t="str">
        <f>CONCATENATE("R",(ROUND($C$2,2)),"Ω±",(MID($D23,5,1)),"%(R",ROUND(ROUND($C$2,2)*(1-(MID($D23,5,1)*0.01)),2),"-",ROUND($C$2,2),"-",ROUND(ROUND($C$2,2)*(1+(MID($D23,5,1)*0.01)),2),"Ω)")</f>
        <v>R18Ω±4%(R17.28-18-18.72Ω)</v>
      </c>
      <c r="F23" s="74"/>
      <c r="G23" s="74"/>
      <c r="H23" s="75"/>
    </row>
    <row r="24" s="35" customFormat="1" customHeight="1" spans="1:8">
      <c r="A24" s="68" t="s">
        <v>75</v>
      </c>
      <c r="B24" s="69"/>
      <c r="C24" s="73"/>
      <c r="D24" s="35" t="s">
        <v>32</v>
      </c>
      <c r="E24" s="74" t="str">
        <f>CONCATENATE("R",(ROUND($C$2,2)),"Ω±",(MID($D24,5,1)),"%(R",ROUND(ROUND($C$2,2)*(1-(MID($D24,5,1)*0.01)),2),"-",ROUND($C$2,2),"-",ROUND(ROUND($C$2,2)*(1+(MID($D24,5,1)*0.01)),2),"Ω)")</f>
        <v>R18Ω±5%(R17.1-18-18.9Ω)</v>
      </c>
      <c r="F24" s="74"/>
      <c r="G24" s="74"/>
      <c r="H24" s="75"/>
    </row>
    <row r="25" s="35" customFormat="1" customHeight="1" spans="1:3">
      <c r="A25" s="76">
        <f>I2*I3*A23/100</f>
        <v>4.32</v>
      </c>
      <c r="B25" s="69"/>
      <c r="C25" s="73"/>
    </row>
    <row r="26" s="35" customFormat="1" customHeight="1"/>
    <row r="27" s="35" customFormat="1" customHeight="1"/>
    <row r="28" s="35" customFormat="1" customHeight="1"/>
    <row r="29" s="35" customFormat="1" customHeight="1"/>
    <row r="30" s="35" customFormat="1" customHeight="1"/>
    <row r="31" s="35" customFormat="1" customHeight="1"/>
    <row r="32" s="35" customFormat="1" customHeight="1"/>
    <row r="33" s="35" customFormat="1" customHeight="1"/>
    <row r="34" s="35" customFormat="1" customHeight="1"/>
    <row r="35" s="35" customFormat="1" customHeight="1"/>
    <row r="36" s="35" customFormat="1" customHeight="1"/>
    <row r="37" s="35" customFormat="1" customHeight="1"/>
    <row r="38" s="35" customFormat="1" customHeight="1"/>
    <row r="39" s="35" customFormat="1" customHeight="1"/>
    <row r="40" s="35" customFormat="1" customHeight="1"/>
    <row r="41" s="35" customFormat="1" customHeight="1"/>
    <row r="42" s="35" customFormat="1" customHeight="1"/>
    <row r="43" s="35" customFormat="1" customHeight="1"/>
    <row r="44" s="35" customFormat="1" customHeight="1"/>
    <row r="45" s="35" customFormat="1" customHeight="1"/>
    <row r="46" s="35" customFormat="1" customHeight="1"/>
    <row r="47" s="35" customFormat="1" customHeight="1"/>
    <row r="48" s="35" customFormat="1" customHeight="1"/>
    <row r="49" s="35" customFormat="1" customHeight="1"/>
    <row r="50" s="35" customFormat="1" customHeight="1"/>
    <row r="51" s="35" customFormat="1" customHeight="1"/>
    <row r="52" s="35" customFormat="1" customHeight="1"/>
    <row r="53" s="35" customFormat="1" customHeight="1"/>
    <row r="54" s="35" customFormat="1" customHeight="1"/>
    <row r="55" s="35" customFormat="1" customHeight="1"/>
    <row r="56" s="35" customFormat="1" customHeight="1"/>
    <row r="57" s="35" customFormat="1" customHeight="1"/>
    <row r="58" s="35" customFormat="1" customHeight="1"/>
    <row r="59" s="35" customFormat="1" customHeight="1"/>
    <row r="60" s="35" customFormat="1" customHeight="1"/>
  </sheetData>
  <mergeCells count="22">
    <mergeCell ref="A1:D1"/>
    <mergeCell ref="E1:G1"/>
    <mergeCell ref="K1:M1"/>
    <mergeCell ref="K2:M2"/>
    <mergeCell ref="K3:M3"/>
    <mergeCell ref="K4:M4"/>
    <mergeCell ref="K5:M5"/>
    <mergeCell ref="K6:M6"/>
    <mergeCell ref="A7:G7"/>
    <mergeCell ref="K7:M7"/>
    <mergeCell ref="A8:C8"/>
    <mergeCell ref="D8:F8"/>
    <mergeCell ref="K8:M8"/>
    <mergeCell ref="K9:M9"/>
    <mergeCell ref="K10:M10"/>
    <mergeCell ref="K11:M11"/>
    <mergeCell ref="E23:H23"/>
    <mergeCell ref="E24:H24"/>
    <mergeCell ref="B22:B25"/>
    <mergeCell ref="H15:H17"/>
    <mergeCell ref="H19:H20"/>
    <mergeCell ref="I15:I17"/>
  </mergeCells>
  <pageMargins left="0.75" right="0.75" top="1" bottom="1" header="0.511111111111111" footer="0.511111111111111"/>
  <pageSetup paperSize="9" orientation="portrait" horizontalDpi="600" verticalDpi="600"/>
  <headerFooter alignWithMargins="0" scaleWithDoc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P114"/>
  <sheetViews>
    <sheetView showFormulas="1" zoomScale="85" zoomScaleNormal="85" workbookViewId="0">
      <pane xSplit="1" topLeftCell="B1" activePane="topRight" state="frozen"/>
      <selection/>
      <selection pane="topRight" activeCell="A40" sqref="A40"/>
    </sheetView>
  </sheetViews>
  <sheetFormatPr defaultColWidth="9" defaultRowHeight="13.5"/>
  <cols>
    <col min="1" max="1" width="22.5" style="1" customWidth="1"/>
    <col min="2" max="2" width="24.625" style="1" customWidth="1"/>
    <col min="3" max="3" width="19.75" style="1" customWidth="1"/>
    <col min="4" max="4" width="22.2083333333333" style="1" customWidth="1"/>
    <col min="5" max="5" width="23.5" style="1" customWidth="1"/>
    <col min="6" max="6" width="22.2833333333333" style="1" customWidth="1"/>
    <col min="7" max="7" width="19.625" style="1" customWidth="1"/>
    <col min="8" max="8" width="25.375" style="1" customWidth="1"/>
    <col min="9" max="9" width="20.125" style="1" customWidth="1"/>
    <col min="10" max="10" width="24.3333333333333" style="1" customWidth="1"/>
    <col min="11" max="11" width="19.4083333333333" style="1" customWidth="1"/>
    <col min="12" max="12" width="23.0833333333333" style="1" customWidth="1"/>
    <col min="13" max="13" width="18.125" style="1" customWidth="1"/>
    <col min="14" max="14" width="22.625" style="1"/>
    <col min="15" max="16384" width="9" style="1"/>
  </cols>
  <sheetData>
    <row r="1" s="1" customFormat="1" spans="1:6">
      <c r="A1" s="1" t="s">
        <v>76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81</v>
      </c>
    </row>
    <row r="2" s="1" customFormat="1" spans="1:6">
      <c r="A2" s="1">
        <v>6300</v>
      </c>
      <c r="B2" s="1">
        <v>220</v>
      </c>
      <c r="C2" s="1">
        <f>A2/B2</f>
        <v>28.6363636363636</v>
      </c>
      <c r="D2" s="1">
        <f>B2*B2/A2</f>
        <v>7.68253968253968</v>
      </c>
      <c r="E2" s="1" t="str">
        <f>CONCATENATE("R",ROUND(ROUND($D$2,2)*(1-(MID(E$1,6,1)*0.01)),2),"-",ROUND($D$2,2),"-",ROUND(ROUND($D$2,2)*(1+(MID(E$1,6,1)*0.01)),2),"Ω")</f>
        <v>R7.37-7.68-7.99Ω</v>
      </c>
      <c r="F2" s="1" t="str">
        <f>CONCATENATE("R",ROUND(ROUND($D$2,2)*(1-(MID(F$1,6,1)*0.01)),2),"-",ROUND($D$2,2),"-",ROUND(ROUND($D$2,2)*(1+(MID(F$1,6,1)*0.01)),2),"Ω")</f>
        <v>R7.3-7.68-8.06Ω</v>
      </c>
    </row>
    <row r="5" s="1" customFormat="1" spans="1:4">
      <c r="A5" s="1" t="s">
        <v>82</v>
      </c>
      <c r="B5" s="3" t="s">
        <v>83</v>
      </c>
      <c r="D5" s="3" t="s">
        <v>84</v>
      </c>
    </row>
    <row r="6" s="1" customFormat="1" spans="1:4">
      <c r="A6" s="1" t="s">
        <v>85</v>
      </c>
      <c r="B6" s="1">
        <f>B8/$B$2</f>
        <v>15.9090909090909</v>
      </c>
      <c r="D6" s="1">
        <f>D8/$B$2</f>
        <v>12.7272727272727</v>
      </c>
    </row>
    <row r="7" s="1" customFormat="1" spans="1:4">
      <c r="A7" s="1" t="s">
        <v>42</v>
      </c>
      <c r="B7" s="1">
        <f>$B$2*$B$2/B8</f>
        <v>13.8285714285714</v>
      </c>
      <c r="D7" s="1">
        <f>$B$2*$B$2/D8</f>
        <v>17.2857142857143</v>
      </c>
    </row>
    <row r="8" s="1" customFormat="1" spans="1:4">
      <c r="A8" s="1" t="s">
        <v>75</v>
      </c>
      <c r="B8" s="4">
        <v>3500</v>
      </c>
      <c r="D8" s="1">
        <f>A2-B8</f>
        <v>2800</v>
      </c>
    </row>
    <row r="12" ht="14.25"/>
    <row r="13" s="1" customFormat="1" ht="32.25" spans="1:14">
      <c r="A13" s="5" t="s">
        <v>86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23"/>
      <c r="N13" s="24"/>
    </row>
    <row r="14" s="1" customFormat="1" spans="1:14">
      <c r="A14" s="7" t="s">
        <v>77</v>
      </c>
      <c r="B14" s="8" t="s">
        <v>75</v>
      </c>
      <c r="C14" s="8" t="s">
        <v>46</v>
      </c>
      <c r="D14" s="8" t="s">
        <v>42</v>
      </c>
      <c r="E14" s="8" t="s">
        <v>51</v>
      </c>
      <c r="F14" s="8" t="s">
        <v>87</v>
      </c>
      <c r="G14" s="8" t="s">
        <v>49</v>
      </c>
      <c r="H14" s="8" t="s">
        <v>85</v>
      </c>
      <c r="I14" s="8" t="s">
        <v>88</v>
      </c>
      <c r="J14" s="8" t="s">
        <v>89</v>
      </c>
      <c r="K14" s="8" t="s">
        <v>90</v>
      </c>
      <c r="L14" s="8" t="s">
        <v>91</v>
      </c>
      <c r="M14" s="8"/>
      <c r="N14" s="25"/>
    </row>
    <row r="15" s="1" customFormat="1" spans="1:14">
      <c r="A15" s="7">
        <v>220</v>
      </c>
      <c r="B15" s="8">
        <v>1500</v>
      </c>
      <c r="C15" s="8">
        <v>0.77</v>
      </c>
      <c r="D15" s="8">
        <f>A15*A15/B15</f>
        <v>32.2666666666667</v>
      </c>
      <c r="E15" s="8">
        <v>4</v>
      </c>
      <c r="F15" s="8">
        <f>D15*E15</f>
        <v>129.066666666667</v>
      </c>
      <c r="G15" s="8">
        <v>0.05</v>
      </c>
      <c r="H15" s="8">
        <f>B15/A15</f>
        <v>6.81818181818182</v>
      </c>
      <c r="I15" s="8">
        <f>H15/E15</f>
        <v>1.70454545454545</v>
      </c>
      <c r="J15" s="26">
        <v>135888.330723357</v>
      </c>
      <c r="K15" s="8">
        <f>J15/E15/1000*C15/G15/F15</f>
        <v>4.05348713805468</v>
      </c>
      <c r="L15" s="127" t="s">
        <v>92</v>
      </c>
      <c r="M15" s="8"/>
      <c r="N15" s="25"/>
    </row>
    <row r="16" s="1" customFormat="1" spans="1:14">
      <c r="A16" s="7"/>
      <c r="B16" s="8"/>
      <c r="C16" s="8"/>
      <c r="D16" s="8">
        <f>D15/1</f>
        <v>32.2666666666667</v>
      </c>
      <c r="E16" s="8"/>
      <c r="F16" s="8"/>
      <c r="G16" s="8"/>
      <c r="H16" s="8"/>
      <c r="I16" s="8"/>
      <c r="J16" s="8"/>
      <c r="K16" s="8"/>
      <c r="L16" s="8"/>
      <c r="M16" s="8"/>
      <c r="N16" s="25"/>
    </row>
    <row r="17" s="1" customFormat="1" spans="1:14">
      <c r="A17" s="7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25"/>
    </row>
    <row r="18" s="1" customFormat="1" spans="1:14">
      <c r="A18" s="7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25"/>
    </row>
    <row r="19" s="1" customFormat="1" spans="1:16">
      <c r="A19" s="7" t="s">
        <v>1</v>
      </c>
      <c r="B19" s="9" t="s">
        <v>93</v>
      </c>
      <c r="C19" s="8"/>
      <c r="D19" s="9" t="s">
        <v>94</v>
      </c>
      <c r="E19" s="8"/>
      <c r="F19" s="10" t="s">
        <v>95</v>
      </c>
      <c r="G19" s="8"/>
      <c r="H19" s="10" t="s">
        <v>96</v>
      </c>
      <c r="I19" s="8"/>
      <c r="J19" s="19" t="s">
        <v>97</v>
      </c>
      <c r="K19" s="8"/>
      <c r="L19" s="27" t="s">
        <v>98</v>
      </c>
      <c r="M19" s="8"/>
      <c r="N19" s="25"/>
      <c r="O19" s="8"/>
      <c r="P19" s="25"/>
    </row>
    <row r="20" s="1" customFormat="1" spans="1:16">
      <c r="A20" s="7" t="s">
        <v>99</v>
      </c>
      <c r="B20" s="128" t="s">
        <v>100</v>
      </c>
      <c r="C20" s="8"/>
      <c r="D20" s="128" t="s">
        <v>101</v>
      </c>
      <c r="E20" s="8"/>
      <c r="F20" s="128" t="s">
        <v>102</v>
      </c>
      <c r="G20" s="8">
        <f>F20/2</f>
        <v>5076.7811166896</v>
      </c>
      <c r="H20" s="128" t="s">
        <v>103</v>
      </c>
      <c r="I20" s="8"/>
      <c r="J20" s="128" t="s">
        <v>104</v>
      </c>
      <c r="K20" s="8"/>
      <c r="L20" s="129" t="s">
        <v>105</v>
      </c>
      <c r="M20" s="8">
        <f>L20/4</f>
        <v>10360.33991253</v>
      </c>
      <c r="N20" s="28">
        <f t="shared" ref="N20:N24" si="0">B20+D20+F20+H20+L20+J20</f>
        <v>135888.330723358</v>
      </c>
      <c r="O20" s="8"/>
      <c r="P20" s="25"/>
    </row>
    <row r="21" s="1" customFormat="1" spans="1:16">
      <c r="A21" s="7" t="s">
        <v>106</v>
      </c>
      <c r="B21" s="8">
        <f>B20/1000/$E$15*$C$15/B22/$G$15</f>
        <v>3.60232237658935</v>
      </c>
      <c r="C21" s="12">
        <f>B20/1000/$E$15*$C$15/C22/$G$15</f>
        <v>3.60232237658935</v>
      </c>
      <c r="D21" s="4">
        <v>3.682</v>
      </c>
      <c r="E21" s="12">
        <f>D20/1000/$E$15*$C$15/E22/$G$15</f>
        <v>3.682</v>
      </c>
      <c r="F21" s="8">
        <f>F20/1000/$E$15*$C$15/F22/$G$15</f>
        <v>4.19127736454941</v>
      </c>
      <c r="G21" s="12">
        <f>F20/1000/$E$15*$C$15/G22/$G$15</f>
        <v>4.19127736454941</v>
      </c>
      <c r="H21" s="4">
        <v>4.145</v>
      </c>
      <c r="I21" s="12">
        <f>H20/1000/$E$15*$C$15/I22/$G$15</f>
        <v>4.145</v>
      </c>
      <c r="J21" s="4">
        <v>3.905</v>
      </c>
      <c r="K21" s="12">
        <f>J20/1000/$E$15*$C$15/K22/$G$15</f>
        <v>3.905</v>
      </c>
      <c r="L21" s="8">
        <f>L20/1000/$E$15*$C$15/L22/$G$15</f>
        <v>4.51385051144735</v>
      </c>
      <c r="M21" s="12">
        <f>L20/1000/$E$15*$C$15/M22/$G$15</f>
        <v>4.51385051144735</v>
      </c>
      <c r="N21" s="29"/>
      <c r="O21" s="8"/>
      <c r="P21" s="25"/>
    </row>
    <row r="22" s="1" customFormat="1" ht="15" spans="1:16">
      <c r="A22" s="7" t="s">
        <v>107</v>
      </c>
      <c r="B22" s="8">
        <f>B23/$E$15/$I$15/$I$15</f>
        <v>14.9387045467505</v>
      </c>
      <c r="C22" s="12">
        <f>B22/($D$15/$D$16)</f>
        <v>14.9387045467505</v>
      </c>
      <c r="D22" s="8">
        <f>D20/1000/$E$15*$C$15/D21/$G$15</f>
        <v>14.4307319333507</v>
      </c>
      <c r="E22" s="12">
        <f>D22/($D$15/$D$16)</f>
        <v>14.4307319333507</v>
      </c>
      <c r="F22" s="8">
        <f>F23/$E$15/$I$15/$I$15</f>
        <v>9.32680211745244</v>
      </c>
      <c r="G22" s="12">
        <f>F22/($D$15/$D$16)</f>
        <v>9.32680211745244</v>
      </c>
      <c r="H22" s="8">
        <f>H20/1000/$E$15*$C$15/H21/$G$15</f>
        <v>11.3065062825884</v>
      </c>
      <c r="I22" s="12">
        <f>H22/($D$15/$D$16)</f>
        <v>11.3065062825884</v>
      </c>
      <c r="J22" s="8">
        <f>J20/1000/$E$15*$C$15/J21/$G$15</f>
        <v>43.7173292823339</v>
      </c>
      <c r="K22" s="12">
        <f>J22/($D$15/$D$16)</f>
        <v>43.7173292823339</v>
      </c>
      <c r="L22" s="18">
        <f>F15-B22-D22-F22-H22-J22</f>
        <v>35.3465925041908</v>
      </c>
      <c r="M22" s="12">
        <f>L22/($D$15/$D$16)</f>
        <v>35.3465925041908</v>
      </c>
      <c r="N22" s="28">
        <f>L22+J22+H22+F22+D22+B22</f>
        <v>129.066666666667</v>
      </c>
      <c r="O22" s="8"/>
      <c r="P22" s="25"/>
    </row>
    <row r="23" s="1" customFormat="1" spans="1:16">
      <c r="A23" s="7" t="s">
        <v>108</v>
      </c>
      <c r="B23" s="8">
        <f>B25*B24/100</f>
        <v>173.616142717916</v>
      </c>
      <c r="C23" s="8"/>
      <c r="D23" s="8">
        <f>$I$15*$I$15*D22*$E$15</f>
        <v>167.712535382433</v>
      </c>
      <c r="E23" s="8"/>
      <c r="F23" s="8">
        <f>F25*F24/100</f>
        <v>108.395169236921</v>
      </c>
      <c r="G23" s="8"/>
      <c r="H23" s="8">
        <f>$I$15*$I$15*H22*$E$15</f>
        <v>131.403094709834</v>
      </c>
      <c r="I23" s="8"/>
      <c r="J23" s="8">
        <f>$I$15*$I$15*J22*$E$15</f>
        <v>508.078465316381</v>
      </c>
      <c r="K23" s="8"/>
      <c r="L23" s="18">
        <f>$I$15*$I$15*L22*$E$15</f>
        <v>410.794592636515</v>
      </c>
      <c r="M23" s="8"/>
      <c r="N23" s="28">
        <f t="shared" si="0"/>
        <v>1500</v>
      </c>
      <c r="O23" s="8"/>
      <c r="P23" s="25"/>
    </row>
    <row r="24" s="1" customFormat="1" spans="1:16">
      <c r="A24" s="7" t="s">
        <v>109</v>
      </c>
      <c r="B24" s="127" t="s">
        <v>110</v>
      </c>
      <c r="C24" s="8"/>
      <c r="D24" s="127" t="s">
        <v>111</v>
      </c>
      <c r="E24" s="8"/>
      <c r="F24" s="127" t="s">
        <v>112</v>
      </c>
      <c r="G24" s="8"/>
      <c r="H24" s="127" t="s">
        <v>113</v>
      </c>
      <c r="I24" s="8"/>
      <c r="J24" s="127" t="s">
        <v>114</v>
      </c>
      <c r="K24" s="8"/>
      <c r="L24" s="130" t="s">
        <v>115</v>
      </c>
      <c r="M24" s="8"/>
      <c r="N24" s="28">
        <f t="shared" si="0"/>
        <v>1228880</v>
      </c>
      <c r="O24" s="30"/>
      <c r="P24" s="25"/>
    </row>
    <row r="25" s="1" customFormat="1" spans="1:16">
      <c r="A25" s="7" t="s">
        <v>116</v>
      </c>
      <c r="B25" s="8">
        <f>D25</f>
        <v>0.155625506009781</v>
      </c>
      <c r="C25" s="8"/>
      <c r="D25" s="8">
        <f>D23/D24*100</f>
        <v>0.155625506009781</v>
      </c>
      <c r="E25" s="8"/>
      <c r="F25" s="8">
        <f>H25</f>
        <v>0.125450339528595</v>
      </c>
      <c r="G25" s="8"/>
      <c r="H25" s="8">
        <f t="shared" ref="H25:L25" si="1">H23/H24*100</f>
        <v>0.125450339528595</v>
      </c>
      <c r="I25" s="8"/>
      <c r="J25" s="8">
        <f t="shared" si="1"/>
        <v>0.124139779611759</v>
      </c>
      <c r="K25" s="8"/>
      <c r="L25" s="8">
        <f t="shared" si="1"/>
        <v>0.100408392792943</v>
      </c>
      <c r="M25" s="29"/>
      <c r="N25" s="8"/>
      <c r="O25" s="8"/>
      <c r="P25" s="25"/>
    </row>
    <row r="26" s="1" customFormat="1" ht="14.25" spans="1:14">
      <c r="A26" s="14" t="s">
        <v>117</v>
      </c>
      <c r="B26" s="15"/>
      <c r="C26" s="15">
        <f t="shared" ref="C26:G26" si="2">B25-D25</f>
        <v>0</v>
      </c>
      <c r="D26" s="15"/>
      <c r="E26" s="15">
        <f t="shared" si="2"/>
        <v>0.0301751664811852</v>
      </c>
      <c r="F26" s="15"/>
      <c r="G26" s="15">
        <f t="shared" si="2"/>
        <v>0</v>
      </c>
      <c r="H26" s="15"/>
      <c r="I26" s="15">
        <f>H25-J25</f>
        <v>0.00131055991683612</v>
      </c>
      <c r="J26" s="15"/>
      <c r="K26" s="15">
        <f>J25-L25</f>
        <v>0.0237313868188164</v>
      </c>
      <c r="L26" s="15"/>
      <c r="M26" s="15"/>
      <c r="N26" s="31"/>
    </row>
    <row r="27" customFormat="1" ht="15"/>
    <row r="28" customFormat="1"/>
    <row r="29" customFormat="1"/>
    <row r="30" customFormat="1"/>
    <row r="31" s="1" customFormat="1" ht="14.25"/>
    <row r="32" s="1" customFormat="1" ht="32.25" spans="1:14">
      <c r="A32" s="5" t="s">
        <v>118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23"/>
      <c r="N32" s="24"/>
    </row>
    <row r="33" s="1" customFormat="1" spans="1:14">
      <c r="A33" s="7" t="s">
        <v>77</v>
      </c>
      <c r="B33" s="8" t="s">
        <v>75</v>
      </c>
      <c r="C33" s="8" t="s">
        <v>46</v>
      </c>
      <c r="D33" s="8" t="s">
        <v>42</v>
      </c>
      <c r="E33" s="8" t="s">
        <v>51</v>
      </c>
      <c r="F33" s="8" t="s">
        <v>87</v>
      </c>
      <c r="G33" s="8" t="s">
        <v>49</v>
      </c>
      <c r="H33" s="8" t="s">
        <v>85</v>
      </c>
      <c r="I33" s="8" t="s">
        <v>88</v>
      </c>
      <c r="J33" s="8" t="s">
        <v>89</v>
      </c>
      <c r="K33" s="8" t="s">
        <v>90</v>
      </c>
      <c r="L33" s="8" t="s">
        <v>91</v>
      </c>
      <c r="M33" s="8"/>
      <c r="N33" s="25"/>
    </row>
    <row r="34" s="1" customFormat="1" spans="1:14">
      <c r="A34" s="7">
        <v>220</v>
      </c>
      <c r="B34" s="8">
        <f>B8</f>
        <v>3500</v>
      </c>
      <c r="C34" s="8">
        <v>0.78</v>
      </c>
      <c r="D34" s="8">
        <f>A34*A34/B34</f>
        <v>13.8285714285714</v>
      </c>
      <c r="E34" s="8">
        <v>3</v>
      </c>
      <c r="F34" s="8">
        <f>D34*E34</f>
        <v>41.4857142857143</v>
      </c>
      <c r="G34" s="8">
        <v>0.1</v>
      </c>
      <c r="H34" s="8">
        <f>B34/A34</f>
        <v>15.9090909090909</v>
      </c>
      <c r="I34" s="8">
        <f>H34/E34</f>
        <v>5.3030303030303</v>
      </c>
      <c r="J34" s="26">
        <v>75438.9008942353</v>
      </c>
      <c r="K34" s="8">
        <f>J34/E34/1000*C34/G34/F34</f>
        <v>4.72792009736599</v>
      </c>
      <c r="L34" s="13">
        <v>590094.254201711</v>
      </c>
      <c r="M34" s="8"/>
      <c r="N34" s="25"/>
    </row>
    <row r="35" s="1" customFormat="1" spans="1:14">
      <c r="A35" s="7"/>
      <c r="B35" s="8"/>
      <c r="C35" s="8"/>
      <c r="D35" s="8">
        <f>D34/1</f>
        <v>13.8285714285714</v>
      </c>
      <c r="E35" s="8"/>
      <c r="F35" s="8"/>
      <c r="G35" s="8"/>
      <c r="H35" s="8"/>
      <c r="I35" s="8"/>
      <c r="J35" s="8"/>
      <c r="K35" s="8"/>
      <c r="L35" s="8"/>
      <c r="M35" s="8"/>
      <c r="N35" s="25"/>
    </row>
    <row r="36" s="1" customFormat="1" spans="1:14">
      <c r="A36" s="7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25"/>
    </row>
    <row r="37" s="1" customFormat="1" spans="1:14">
      <c r="A37" s="7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25"/>
    </row>
    <row r="38" s="1" customFormat="1" spans="1:14">
      <c r="A38" s="7" t="s">
        <v>1</v>
      </c>
      <c r="B38" s="9" t="s">
        <v>119</v>
      </c>
      <c r="C38" s="8"/>
      <c r="D38" s="9" t="s">
        <v>120</v>
      </c>
      <c r="E38" s="8"/>
      <c r="F38" s="10" t="s">
        <v>121</v>
      </c>
      <c r="G38" s="8"/>
      <c r="H38" s="10" t="s">
        <v>122</v>
      </c>
      <c r="I38" s="8"/>
      <c r="J38" s="19" t="s">
        <v>123</v>
      </c>
      <c r="K38" s="8"/>
      <c r="L38" s="8"/>
      <c r="M38" s="8"/>
      <c r="N38" s="25"/>
    </row>
    <row r="39" s="1" customFormat="1" spans="1:14">
      <c r="A39" s="7" t="s">
        <v>124</v>
      </c>
      <c r="B39" s="128" t="s">
        <v>125</v>
      </c>
      <c r="C39" s="8"/>
      <c r="D39" s="128" t="s">
        <v>125</v>
      </c>
      <c r="E39" s="8"/>
      <c r="F39" s="11">
        <v>11641.3255325457</v>
      </c>
      <c r="G39" s="8"/>
      <c r="H39" s="128" t="s">
        <v>126</v>
      </c>
      <c r="I39" s="8"/>
      <c r="J39" s="20">
        <v>11695.8156951084</v>
      </c>
      <c r="K39" s="8"/>
      <c r="L39" s="28">
        <f t="shared" ref="L39:L43" si="3">B39+D39+F39+H39+J39</f>
        <v>107440.656694611</v>
      </c>
      <c r="M39" s="8"/>
      <c r="N39" s="25"/>
    </row>
    <row r="40" s="1" customFormat="1" spans="1:14">
      <c r="A40" s="7" t="s">
        <v>106</v>
      </c>
      <c r="B40" s="4">
        <v>5.389</v>
      </c>
      <c r="C40" s="12">
        <f>B39/1000/$E$34*$C$34/$G$34/C41</f>
        <v>5.38899999999998</v>
      </c>
      <c r="D40" s="4">
        <v>5.389</v>
      </c>
      <c r="E40" s="12">
        <f>D39/1000/$E$34*$C$34/$G$34/E41</f>
        <v>5.38899999999998</v>
      </c>
      <c r="F40" s="4">
        <v>4.445</v>
      </c>
      <c r="G40" s="12">
        <f>F39/1000/$E$34*$C$34/$G$34/G41</f>
        <v>4.445</v>
      </c>
      <c r="H40" s="4">
        <v>4.445</v>
      </c>
      <c r="I40" s="12">
        <f>H39/1000/$E$34*$C$34/$G$34/I41</f>
        <v>4.445</v>
      </c>
      <c r="J40" s="21">
        <f>J39/1000/$E$34*C34/$G$34/J41</f>
        <v>3.53480656979604</v>
      </c>
      <c r="K40" s="12">
        <f>J39/1000/$E$34*$C$34/$G$34/K41</f>
        <v>3.53480656979604</v>
      </c>
      <c r="L40" s="29"/>
      <c r="M40" s="8"/>
      <c r="N40" s="25"/>
    </row>
    <row r="41" s="1" customFormat="1" ht="15" spans="1:14">
      <c r="A41" s="7" t="s">
        <v>107</v>
      </c>
      <c r="B41" s="8">
        <f>B39/1000/$E$34*$C$34/B40/$G$34</f>
        <v>16.2279946804816</v>
      </c>
      <c r="C41" s="12">
        <f>B41/($D$34/$D$35)</f>
        <v>16.2279946804816</v>
      </c>
      <c r="D41" s="8">
        <f>D39/1000/$E$34*$C$34/D40/$G$34</f>
        <v>16.2279946804816</v>
      </c>
      <c r="E41" s="12">
        <f>D41/($D$34/$D$35)</f>
        <v>16.2279946804816</v>
      </c>
      <c r="F41" s="8">
        <f>F39/1000/$E$34*$C$34/F40/$G$34</f>
        <v>6.80932427100536</v>
      </c>
      <c r="G41" s="12">
        <f>F41/($D$34/$D$35)</f>
        <v>6.80932427100536</v>
      </c>
      <c r="H41" s="8">
        <f>H39/1000/$E$34*$C$34/H40/$G$34</f>
        <v>9.84562734485013</v>
      </c>
      <c r="I41" s="12">
        <f>H41/($D$34/$D$35)</f>
        <v>9.84562734485013</v>
      </c>
      <c r="J41" s="18">
        <f>F34-B41-F41-H41</f>
        <v>8.60276798937726</v>
      </c>
      <c r="K41" s="12">
        <f>J41/($D$34/$D$35)</f>
        <v>8.60276798937726</v>
      </c>
      <c r="L41" s="29"/>
      <c r="M41" s="8"/>
      <c r="N41" s="25"/>
    </row>
    <row r="42" s="1" customFormat="1" spans="1:14">
      <c r="A42" s="7" t="s">
        <v>108</v>
      </c>
      <c r="B42" s="8">
        <f>$I$34*$I$34*B41*$E$34</f>
        <v>1369.09734735467</v>
      </c>
      <c r="C42" s="8"/>
      <c r="D42" s="8">
        <f>$I$34*$I$34*D41*$E$34</f>
        <v>1369.09734735468</v>
      </c>
      <c r="E42" s="8"/>
      <c r="F42" s="8">
        <f>$I$34*$I$34*F41*$E$34</f>
        <v>574.478115150245</v>
      </c>
      <c r="G42" s="8"/>
      <c r="H42" s="8">
        <f>$I$34*$I$34*H41*$E$34</f>
        <v>830.640048033154</v>
      </c>
      <c r="I42" s="8"/>
      <c r="J42" s="18">
        <f>$I$34*$I$34*J41*$E$34</f>
        <v>725.784489461924</v>
      </c>
      <c r="K42" s="8"/>
      <c r="L42" s="28">
        <f t="shared" si="3"/>
        <v>4869.09734735468</v>
      </c>
      <c r="M42" s="8"/>
      <c r="N42" s="25"/>
    </row>
    <row r="43" s="1" customFormat="1" spans="1:14">
      <c r="A43" s="7" t="s">
        <v>109</v>
      </c>
      <c r="B43" s="13">
        <v>224216.852407622</v>
      </c>
      <c r="C43" s="8"/>
      <c r="D43" s="13">
        <v>224216.852407622</v>
      </c>
      <c r="E43" s="8"/>
      <c r="F43" s="127" t="s">
        <v>127</v>
      </c>
      <c r="G43" s="8"/>
      <c r="H43" s="127" t="s">
        <v>128</v>
      </c>
      <c r="I43" s="8"/>
      <c r="J43" s="22">
        <v>114522.269445424</v>
      </c>
      <c r="K43" s="8"/>
      <c r="L43" s="28">
        <f t="shared" si="3"/>
        <v>814311.106609328</v>
      </c>
      <c r="M43" s="30"/>
      <c r="N43" s="25"/>
    </row>
    <row r="44" s="1" customFormat="1" spans="1:14">
      <c r="A44" s="7" t="s">
        <v>116</v>
      </c>
      <c r="B44" s="8">
        <f t="shared" ref="B44:F44" si="4">B42/B43*100</f>
        <v>0.610613043869549</v>
      </c>
      <c r="C44" s="8"/>
      <c r="D44" s="8">
        <f t="shared" si="4"/>
        <v>0.61061304386955</v>
      </c>
      <c r="E44" s="8"/>
      <c r="F44" s="8">
        <f t="shared" si="4"/>
        <v>0.50163004796544</v>
      </c>
      <c r="G44" s="8"/>
      <c r="H44" s="8">
        <f>H42/H43*100</f>
        <v>0.607047189110283</v>
      </c>
      <c r="I44" s="8"/>
      <c r="J44" s="8">
        <f>J42/J43*100</f>
        <v>0.633749656705676</v>
      </c>
      <c r="K44" s="29"/>
      <c r="L44" s="8"/>
      <c r="M44" s="8"/>
      <c r="N44" s="25"/>
    </row>
    <row r="45" s="1" customFormat="1" ht="14.25" spans="1:14">
      <c r="A45" s="14" t="s">
        <v>117</v>
      </c>
      <c r="B45" s="15"/>
      <c r="C45" s="15">
        <f t="shared" ref="C45:G45" si="5">B44-D44</f>
        <v>-9.99200722162641e-16</v>
      </c>
      <c r="D45" s="15"/>
      <c r="E45" s="15">
        <f t="shared" si="5"/>
        <v>0.10898299590411</v>
      </c>
      <c r="F45" s="15"/>
      <c r="G45" s="15">
        <f t="shared" si="5"/>
        <v>-0.105417141144843</v>
      </c>
      <c r="H45" s="15"/>
      <c r="I45" s="15">
        <f>H44-J44</f>
        <v>-0.026702467595393</v>
      </c>
      <c r="J45" s="15"/>
      <c r="K45" s="15"/>
      <c r="L45" s="15"/>
      <c r="M45" s="15"/>
      <c r="N45" s="31"/>
    </row>
    <row r="46" s="1" customFormat="1" ht="14.25"/>
    <row r="48" s="1" customFormat="1" ht="32.25" spans="1:12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</row>
    <row r="49" ht="32.25" spans="1:12">
      <c r="A49" s="5" t="s">
        <v>129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32"/>
    </row>
    <row r="50" spans="1:12">
      <c r="A50" s="7" t="s">
        <v>77</v>
      </c>
      <c r="B50" s="8" t="s">
        <v>75</v>
      </c>
      <c r="C50" s="8" t="s">
        <v>46</v>
      </c>
      <c r="D50" s="8" t="s">
        <v>42</v>
      </c>
      <c r="E50" s="8" t="s">
        <v>51</v>
      </c>
      <c r="F50" s="8" t="s">
        <v>87</v>
      </c>
      <c r="G50" s="8" t="s">
        <v>49</v>
      </c>
      <c r="H50" s="8" t="s">
        <v>85</v>
      </c>
      <c r="I50" s="8" t="s">
        <v>88</v>
      </c>
      <c r="J50" s="8" t="s">
        <v>89</v>
      </c>
      <c r="K50" s="8" t="s">
        <v>90</v>
      </c>
      <c r="L50" s="25" t="s">
        <v>91</v>
      </c>
    </row>
    <row r="51" s="1" customFormat="1" spans="1:12">
      <c r="A51" s="7">
        <v>220</v>
      </c>
      <c r="B51" s="8">
        <f>B8</f>
        <v>3500</v>
      </c>
      <c r="C51" s="8">
        <v>0.78</v>
      </c>
      <c r="D51" s="8">
        <f>A51*A51/B51</f>
        <v>13.8285714285714</v>
      </c>
      <c r="E51" s="8">
        <v>3</v>
      </c>
      <c r="F51" s="8">
        <f>D51*E51</f>
        <v>41.4857142857143</v>
      </c>
      <c r="G51" s="8">
        <v>0.1</v>
      </c>
      <c r="H51" s="8">
        <f>B51/A51</f>
        <v>15.9090909090909</v>
      </c>
      <c r="I51" s="8">
        <f>H51/E51</f>
        <v>5.3030303030303</v>
      </c>
      <c r="J51" s="26">
        <v>73946.1480387502</v>
      </c>
      <c r="K51" s="8">
        <f>J51/E51/1000*C51/G51/F51</f>
        <v>4.63436602722195</v>
      </c>
      <c r="L51" s="33">
        <v>590094.254201711</v>
      </c>
    </row>
    <row r="52" s="1" customFormat="1" spans="1:12">
      <c r="A52" s="7"/>
      <c r="B52" s="8"/>
      <c r="C52" s="8"/>
      <c r="D52" s="8">
        <f>D51/1</f>
        <v>13.8285714285714</v>
      </c>
      <c r="E52" s="8"/>
      <c r="F52" s="8"/>
      <c r="G52" s="8"/>
      <c r="H52" s="8"/>
      <c r="I52" s="8"/>
      <c r="J52" s="8"/>
      <c r="K52" s="8"/>
      <c r="L52" s="25"/>
    </row>
    <row r="53" s="1" customFormat="1" spans="1:12">
      <c r="A53" s="7"/>
      <c r="B53" s="8"/>
      <c r="C53" s="8"/>
      <c r="D53" s="8"/>
      <c r="E53" s="8"/>
      <c r="F53" s="8"/>
      <c r="G53" s="8"/>
      <c r="H53" s="17"/>
      <c r="I53" s="8"/>
      <c r="J53" s="8"/>
      <c r="K53" s="8"/>
      <c r="L53" s="25"/>
    </row>
    <row r="54" s="1" customFormat="1" spans="1:12">
      <c r="A54" s="7"/>
      <c r="B54" s="8"/>
      <c r="C54" s="8"/>
      <c r="D54" s="8"/>
      <c r="E54" s="8"/>
      <c r="F54" s="8"/>
      <c r="G54" s="8"/>
      <c r="H54" s="18"/>
      <c r="I54" s="8"/>
      <c r="J54" s="8"/>
      <c r="K54" s="8"/>
      <c r="L54" s="25"/>
    </row>
    <row r="55" s="1" customFormat="1" spans="1:12">
      <c r="A55" s="7" t="s">
        <v>1</v>
      </c>
      <c r="B55" s="9" t="s">
        <v>130</v>
      </c>
      <c r="C55" s="8"/>
      <c r="D55" s="10" t="s">
        <v>121</v>
      </c>
      <c r="E55" s="8"/>
      <c r="F55" s="10" t="s">
        <v>122</v>
      </c>
      <c r="G55" s="8"/>
      <c r="H55" s="19" t="s">
        <v>123</v>
      </c>
      <c r="I55" s="8"/>
      <c r="J55" s="8"/>
      <c r="K55" s="8"/>
      <c r="L55" s="25"/>
    </row>
    <row r="56" s="1" customFormat="1" spans="1:12">
      <c r="A56" s="7" t="s">
        <v>124</v>
      </c>
      <c r="B56" s="11">
        <v>32136.2356231359</v>
      </c>
      <c r="C56" s="8">
        <f>B56/4</f>
        <v>8034.05890578398</v>
      </c>
      <c r="D56" s="128" t="s">
        <v>131</v>
      </c>
      <c r="E56" s="8">
        <f>D56/3</f>
        <v>4428.12066553337</v>
      </c>
      <c r="F56" s="11">
        <v>16829.7347239061</v>
      </c>
      <c r="G56" s="8"/>
      <c r="H56" s="20">
        <v>11695.8156951082</v>
      </c>
      <c r="I56" s="8"/>
      <c r="J56" s="28">
        <f t="shared" ref="J56:J60" si="6">B56+D56+F56+H56</f>
        <v>73946.1480387503</v>
      </c>
      <c r="K56" s="8"/>
      <c r="L56" s="25"/>
    </row>
    <row r="57" s="1" customFormat="1" spans="1:12">
      <c r="A57" s="7" t="s">
        <v>106</v>
      </c>
      <c r="B57" s="4">
        <v>5.159</v>
      </c>
      <c r="C57" s="12">
        <f>B56/1000/$E$51*$C$51/$G$51/C58</f>
        <v>5.15900000000001</v>
      </c>
      <c r="D57" s="4">
        <f>D56/1000/$E$51*$C$51/G51/D58</f>
        <v>4.32134543454169</v>
      </c>
      <c r="E57" s="12">
        <f>D56/1000/$E$51*$C$51/$G$51/E58</f>
        <v>4.32134543454169</v>
      </c>
      <c r="F57" s="4">
        <v>4.582</v>
      </c>
      <c r="G57" s="12">
        <f>F56/1000/$E$51*$C$51/$G$51/G58</f>
        <v>4.582</v>
      </c>
      <c r="H57" s="21">
        <f>H56/1000/$E$51*C51/$G$51/H58</f>
        <v>3.92510347335896</v>
      </c>
      <c r="I57" s="29">
        <f>H56/1000/$E$51*$C$51/$G$51/I58</f>
        <v>3.92510347335896</v>
      </c>
      <c r="J57" s="29"/>
      <c r="K57" s="8"/>
      <c r="L57" s="25"/>
    </row>
    <row r="58" s="1" customFormat="1" ht="15" spans="1:12">
      <c r="A58" s="7" t="s">
        <v>107</v>
      </c>
      <c r="B58" s="8">
        <f>B56/1000/$E$51*$C$51/B57/$G$51</f>
        <v>16.195815588322</v>
      </c>
      <c r="C58" s="12">
        <f>B58/($D$51/$D$52)</f>
        <v>16.195815588322</v>
      </c>
      <c r="D58" s="8">
        <f>D59/I51/I51/E51</f>
        <v>7.99272858750839</v>
      </c>
      <c r="E58" s="12">
        <f>D58/($D$51/$D$52)</f>
        <v>7.99272858750839</v>
      </c>
      <c r="F58" s="8">
        <f>F56/1000/$E$51*$C$51/F57/$G$51</f>
        <v>9.54982764778609</v>
      </c>
      <c r="G58" s="12">
        <f>F58/($D$51/$D$52)</f>
        <v>9.54982764778609</v>
      </c>
      <c r="H58" s="18">
        <f>F51-B58-D58-F58</f>
        <v>7.74734246209777</v>
      </c>
      <c r="I58" s="12">
        <f>H58/($D$51/$D$52)</f>
        <v>7.74734246209777</v>
      </c>
      <c r="J58" s="29"/>
      <c r="K58" s="8"/>
      <c r="L58" s="25"/>
    </row>
    <row r="59" s="1" customFormat="1" spans="1:12">
      <c r="A59" s="7" t="s">
        <v>108</v>
      </c>
      <c r="B59" s="8">
        <f>$I$51*$I$51*B58*$E$51</f>
        <v>1366.38251347758</v>
      </c>
      <c r="C59" s="8"/>
      <c r="D59" s="8">
        <f>D60/100*D61</f>
        <v>674.317666645853</v>
      </c>
      <c r="E59" s="8"/>
      <c r="F59" s="8">
        <f>$I$51*$I$51*F58*$E$51</f>
        <v>805.684495078372</v>
      </c>
      <c r="G59" s="8"/>
      <c r="H59" s="18">
        <f>$I$51*$I$51*H58*$E$51</f>
        <v>653.615324798194</v>
      </c>
      <c r="I59" s="8"/>
      <c r="J59" s="28">
        <f t="shared" si="6"/>
        <v>3500</v>
      </c>
      <c r="K59" s="8"/>
      <c r="L59" s="25"/>
    </row>
    <row r="60" s="1" customFormat="1" spans="1:12">
      <c r="A60" s="7" t="s">
        <v>109</v>
      </c>
      <c r="B60" s="13">
        <v>224216.852407622</v>
      </c>
      <c r="C60" s="8"/>
      <c r="D60" s="127" t="s">
        <v>127</v>
      </c>
      <c r="E60" s="8"/>
      <c r="F60" s="127" t="s">
        <v>128</v>
      </c>
      <c r="G60" s="8"/>
      <c r="H60" s="22">
        <v>114522.269445424</v>
      </c>
      <c r="I60" s="8"/>
      <c r="J60" s="28">
        <f t="shared" si="6"/>
        <v>590094.254201706</v>
      </c>
      <c r="K60" s="30"/>
      <c r="L60" s="25"/>
    </row>
    <row r="61" s="1" customFormat="1" spans="1:12">
      <c r="A61" s="7" t="s">
        <v>116</v>
      </c>
      <c r="B61" s="8">
        <f>B59/B60*100</f>
        <v>0.60940223663185</v>
      </c>
      <c r="C61" s="8"/>
      <c r="D61" s="8">
        <f>F61</f>
        <v>0.588809207074905</v>
      </c>
      <c r="E61" s="8"/>
      <c r="F61" s="8">
        <f>F59/F60*100</f>
        <v>0.588809207074905</v>
      </c>
      <c r="G61" s="8"/>
      <c r="H61" s="8">
        <f>H59/H60*100</f>
        <v>0.57073207504823</v>
      </c>
      <c r="I61" s="29"/>
      <c r="J61" s="8"/>
      <c r="K61" s="8"/>
      <c r="L61" s="25"/>
    </row>
    <row r="62" s="1" customFormat="1" ht="14.25" spans="1:12">
      <c r="A62" s="14" t="s">
        <v>117</v>
      </c>
      <c r="B62" s="15"/>
      <c r="C62" s="15">
        <f t="shared" ref="C62:G62" si="7">B61-D61</f>
        <v>0.0205930295569441</v>
      </c>
      <c r="D62" s="15"/>
      <c r="E62" s="15">
        <f t="shared" si="7"/>
        <v>0</v>
      </c>
      <c r="F62" s="15"/>
      <c r="G62" s="15">
        <f t="shared" si="7"/>
        <v>0.0180771320266753</v>
      </c>
      <c r="H62" s="15"/>
      <c r="I62" s="15"/>
      <c r="J62" s="15"/>
      <c r="K62" s="15"/>
      <c r="L62" s="31"/>
    </row>
    <row r="63" s="1" customFormat="1" ht="14.25" hidden="1" spans="1:8">
      <c r="A63" s="13">
        <v>59899.1336722969</v>
      </c>
      <c r="B63" s="1">
        <f t="shared" ref="B63:B65" si="8">A63*$D$61/100</f>
        <v>352.691614020589</v>
      </c>
      <c r="C63" s="12">
        <f t="shared" ref="C63:C65" si="9">D63/$E$51/1000*$C$51/$G$51/(B63/$E$51/$I$51/$I$51/0.95)</f>
        <v>4.29157816540571</v>
      </c>
      <c r="D63" s="11">
        <v>7263.496556377</v>
      </c>
      <c r="E63" s="1">
        <f t="shared" ref="E63:E65" si="10">D63/$E$56*$D$57</f>
        <v>7.08835193381713</v>
      </c>
      <c r="F63" s="1">
        <f t="shared" ref="F63:F65" si="11">D63/$E$51/1000*$C$51/E63/$G$51</f>
        <v>2.6642428625028</v>
      </c>
      <c r="G63" s="1">
        <f t="shared" ref="G63:G65" si="12">F63*$I$51*$I$51*$E$51</f>
        <v>224.772555548618</v>
      </c>
      <c r="H63" s="1">
        <f t="shared" ref="H63:H65" si="13">G63/A63*100</f>
        <v>0.375251763703845</v>
      </c>
    </row>
    <row r="64" hidden="1" spans="1:8">
      <c r="A64" s="13">
        <v>38048.9365840498</v>
      </c>
      <c r="B64" s="1">
        <f t="shared" si="8"/>
        <v>224.035641800977</v>
      </c>
      <c r="C64" s="12">
        <f t="shared" si="9"/>
        <v>3.88645228547849</v>
      </c>
      <c r="D64" s="11">
        <v>4178.3424414376</v>
      </c>
      <c r="E64" s="1">
        <f t="shared" si="10"/>
        <v>4.07759011035968</v>
      </c>
      <c r="F64" s="1">
        <f t="shared" si="11"/>
        <v>2.6642428625028</v>
      </c>
      <c r="G64" s="1">
        <f t="shared" si="12"/>
        <v>224.772555548618</v>
      </c>
      <c r="H64" s="1">
        <f t="shared" si="13"/>
        <v>0.590745959619914</v>
      </c>
    </row>
    <row r="65" customFormat="1" ht="14.25" hidden="1" spans="1:8">
      <c r="A65" s="13">
        <v>16574.1991890887</v>
      </c>
      <c r="B65" s="1">
        <f t="shared" si="8"/>
        <v>97.5904108242886</v>
      </c>
      <c r="C65" s="12">
        <f t="shared" si="9"/>
        <v>3.9343427953605</v>
      </c>
      <c r="D65" s="11">
        <v>1842.5229987855</v>
      </c>
      <c r="E65" s="1">
        <f t="shared" si="10"/>
        <v>1.79809425944827</v>
      </c>
      <c r="F65" s="1">
        <f t="shared" si="11"/>
        <v>2.6642428625028</v>
      </c>
      <c r="G65" s="1">
        <f t="shared" si="12"/>
        <v>224.772555548618</v>
      </c>
      <c r="H65" s="1">
        <f t="shared" si="13"/>
        <v>1.35615937146811</v>
      </c>
    </row>
    <row r="66" customFormat="1" ht="14.25" hidden="1" spans="1:7">
      <c r="A66" s="28">
        <f t="shared" ref="A66:G66" si="14">SUM(A63:A65)</f>
        <v>114522.269445435</v>
      </c>
      <c r="B66" s="28">
        <f t="shared" si="14"/>
        <v>674.317666645855</v>
      </c>
      <c r="C66" s="28"/>
      <c r="D66" s="28">
        <f t="shared" si="14"/>
        <v>13284.3619966001</v>
      </c>
      <c r="F66" s="28">
        <f t="shared" si="14"/>
        <v>7.99272858750839</v>
      </c>
      <c r="G66" s="28">
        <f t="shared" si="14"/>
        <v>674.317666645853</v>
      </c>
    </row>
    <row r="67" customFormat="1" ht="14.25" hidden="1"/>
    <row r="68" hidden="1"/>
    <row r="69" s="2" customFormat="1" hidden="1" spans="1:12">
      <c r="A69" s="1" t="s">
        <v>132</v>
      </c>
      <c r="B69" s="11">
        <v>7946.0253645789</v>
      </c>
      <c r="C69" s="12">
        <f t="shared" ref="C69:C72" si="15">B69/$C$56*$C$57</f>
        <v>5.10247003869365</v>
      </c>
      <c r="D69" s="1" t="s">
        <v>133</v>
      </c>
      <c r="E69" s="11">
        <v>59899.133672295</v>
      </c>
      <c r="F69" s="1">
        <f t="shared" ref="F69:F71" si="16">E69*$H$61/100</f>
        <v>341.863568543802</v>
      </c>
      <c r="G69" s="12">
        <f t="shared" ref="G69:G71" si="17">H69/$E$51/1000*$C$51/$G$51/(F69/$E$51/$I$51/$I$51/0.95)</f>
        <v>3.66154777226293</v>
      </c>
      <c r="H69" s="34">
        <v>6006.9096650873</v>
      </c>
      <c r="I69" s="1"/>
      <c r="J69" s="1"/>
      <c r="K69" s="1"/>
      <c r="L69" s="1"/>
    </row>
    <row r="70" s="2" customFormat="1" hidden="1" spans="1:12">
      <c r="A70" s="1"/>
      <c r="B70" s="11">
        <v>8121.9969422022</v>
      </c>
      <c r="C70" s="12">
        <f t="shared" si="15"/>
        <v>5.21546863375063</v>
      </c>
      <c r="D70" s="1"/>
      <c r="E70" s="11">
        <v>38048.9365840453</v>
      </c>
      <c r="F70" s="1">
        <f t="shared" si="16"/>
        <v>217.157485299907</v>
      </c>
      <c r="G70" s="12">
        <f t="shared" si="17"/>
        <v>3.75919278548864</v>
      </c>
      <c r="H70" s="34">
        <v>3917.4456223508</v>
      </c>
      <c r="I70" s="1"/>
      <c r="J70" s="1"/>
      <c r="K70" s="1"/>
      <c r="L70" s="1"/>
    </row>
    <row r="71" s="2" customFormat="1" hidden="1" spans="1:12">
      <c r="A71" s="1"/>
      <c r="B71" s="11">
        <v>8121.8252607328</v>
      </c>
      <c r="C71" s="12">
        <f t="shared" si="15"/>
        <v>5.21535839001069</v>
      </c>
      <c r="D71" s="1"/>
      <c r="E71" s="11">
        <v>16574.1991890873</v>
      </c>
      <c r="F71" s="1">
        <f t="shared" si="16"/>
        <v>94.5942709545049</v>
      </c>
      <c r="G71" s="12">
        <f t="shared" si="17"/>
        <v>3.90241130807565</v>
      </c>
      <c r="H71" s="34">
        <v>1771.46040767</v>
      </c>
      <c r="I71" s="1"/>
      <c r="J71" s="1"/>
      <c r="K71" s="1"/>
      <c r="L71" s="1"/>
    </row>
    <row r="72" s="2" customFormat="1" hidden="1" spans="1:12">
      <c r="A72" s="1"/>
      <c r="B72" s="11">
        <v>7946.3880556221</v>
      </c>
      <c r="C72" s="12">
        <f t="shared" si="15"/>
        <v>5.10270293754513</v>
      </c>
      <c r="D72" s="1"/>
      <c r="E72" s="28">
        <f t="shared" ref="E72:H72" si="18">SUM(E69:E71)</f>
        <v>114522.269445428</v>
      </c>
      <c r="F72" s="28">
        <f t="shared" si="18"/>
        <v>653.615324798214</v>
      </c>
      <c r="G72" s="1"/>
      <c r="H72" s="28">
        <f t="shared" si="18"/>
        <v>11695.8156951081</v>
      </c>
      <c r="I72" s="1"/>
      <c r="J72" s="1"/>
      <c r="K72" s="1"/>
      <c r="L72" s="1"/>
    </row>
    <row r="73" s="2" customFormat="1" hidden="1" spans="1:12">
      <c r="A73" s="1"/>
      <c r="B73" s="28">
        <f>SUM(B67:B72)</f>
        <v>32136.235623136</v>
      </c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="2" customFormat="1" hidden="1" spans="1:1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="2" customFormat="1" ht="14.25" spans="1:1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="2" customFormat="1" spans="1:1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="2" customFormat="1" ht="14.25" spans="1:1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customFormat="1" ht="32.25" spans="1:12">
      <c r="A78" s="5" t="s">
        <v>134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32"/>
    </row>
    <row r="79" customFormat="1" ht="14.25" spans="1:12">
      <c r="A79" s="7" t="s">
        <v>77</v>
      </c>
      <c r="B79" s="8" t="s">
        <v>75</v>
      </c>
      <c r="C79" s="8" t="s">
        <v>46</v>
      </c>
      <c r="D79" s="8" t="s">
        <v>42</v>
      </c>
      <c r="E79" s="8" t="s">
        <v>51</v>
      </c>
      <c r="F79" s="8" t="s">
        <v>87</v>
      </c>
      <c r="G79" s="8" t="s">
        <v>49</v>
      </c>
      <c r="H79" s="8" t="s">
        <v>85</v>
      </c>
      <c r="I79" s="8" t="s">
        <v>88</v>
      </c>
      <c r="J79" s="8" t="s">
        <v>89</v>
      </c>
      <c r="K79" s="8" t="s">
        <v>90</v>
      </c>
      <c r="L79" s="25" t="s">
        <v>91</v>
      </c>
    </row>
    <row r="80" s="1" customFormat="1" spans="1:12">
      <c r="A80" s="7">
        <v>220</v>
      </c>
      <c r="B80" s="8">
        <f>B8</f>
        <v>3500</v>
      </c>
      <c r="C80" s="8">
        <v>0.78</v>
      </c>
      <c r="D80" s="8">
        <f>A80*A80/B80</f>
        <v>13.8285714285714</v>
      </c>
      <c r="E80" s="8">
        <v>3</v>
      </c>
      <c r="F80" s="8">
        <f>D80*E80</f>
        <v>41.4857142857143</v>
      </c>
      <c r="G80" s="8">
        <v>0.1</v>
      </c>
      <c r="H80" s="8">
        <f>B80/A80</f>
        <v>15.9090909090909</v>
      </c>
      <c r="I80" s="8">
        <f>H80/E80</f>
        <v>5.3030303030303</v>
      </c>
      <c r="J80" s="26">
        <v>75438.9008942353</v>
      </c>
      <c r="K80" s="8">
        <f>J80/E80/1000*C80/G80/F80</f>
        <v>4.72792009736599</v>
      </c>
      <c r="L80" s="33">
        <v>590094.254201711</v>
      </c>
    </row>
    <row r="81" s="1" customFormat="1" spans="1:12">
      <c r="A81" s="7"/>
      <c r="B81" s="8"/>
      <c r="C81" s="8"/>
      <c r="D81" s="8">
        <f>D80/1</f>
        <v>13.8285714285714</v>
      </c>
      <c r="E81" s="8"/>
      <c r="F81" s="8"/>
      <c r="G81" s="8"/>
      <c r="H81" s="8"/>
      <c r="I81" s="8"/>
      <c r="J81" s="8"/>
      <c r="K81" s="8"/>
      <c r="L81" s="25"/>
    </row>
    <row r="82" s="1" customFormat="1" spans="1:12">
      <c r="A82" s="7"/>
      <c r="B82" s="8"/>
      <c r="C82" s="8"/>
      <c r="D82" s="8"/>
      <c r="E82" s="8"/>
      <c r="F82" s="8"/>
      <c r="G82" s="8"/>
      <c r="H82" s="17"/>
      <c r="I82" s="8"/>
      <c r="J82" s="8"/>
      <c r="K82" s="8"/>
      <c r="L82" s="25"/>
    </row>
    <row r="83" s="1" customFormat="1" spans="1:12">
      <c r="A83" s="7"/>
      <c r="B83" s="8"/>
      <c r="C83" s="8"/>
      <c r="D83" s="8"/>
      <c r="E83" s="8"/>
      <c r="F83" s="8"/>
      <c r="G83" s="8"/>
      <c r="H83" s="18"/>
      <c r="I83" s="8"/>
      <c r="J83" s="8"/>
      <c r="K83" s="8"/>
      <c r="L83" s="25"/>
    </row>
    <row r="84" s="1" customFormat="1" spans="1:12">
      <c r="A84" s="7" t="s">
        <v>1</v>
      </c>
      <c r="B84" s="9" t="s">
        <v>130</v>
      </c>
      <c r="C84" s="8"/>
      <c r="D84" s="10" t="s">
        <v>135</v>
      </c>
      <c r="E84" s="8"/>
      <c r="F84" s="19" t="s">
        <v>123</v>
      </c>
      <c r="G84" s="8"/>
      <c r="H84" s="8"/>
      <c r="I84" s="8"/>
      <c r="J84" s="8"/>
      <c r="K84" s="8"/>
      <c r="L84" s="25"/>
    </row>
    <row r="85" s="1" customFormat="1" spans="1:12">
      <c r="A85" s="7" t="s">
        <v>124</v>
      </c>
      <c r="B85" s="128" t="s">
        <v>125</v>
      </c>
      <c r="C85" s="8"/>
      <c r="D85" s="11">
        <v>29989.9152418575</v>
      </c>
      <c r="E85" s="8">
        <f>D85/2</f>
        <v>14994.9576209287</v>
      </c>
      <c r="F85" s="20">
        <v>11695.8156951084</v>
      </c>
      <c r="G85" s="8"/>
      <c r="H85" s="28">
        <f>B85+F85+D85</f>
        <v>75321.3706804717</v>
      </c>
      <c r="I85" s="8"/>
      <c r="J85" s="8"/>
      <c r="K85" s="8"/>
      <c r="L85" s="25"/>
    </row>
    <row r="86" s="1" customFormat="1" spans="1:12">
      <c r="A86" s="7" t="s">
        <v>106</v>
      </c>
      <c r="B86" s="4">
        <v>5.389</v>
      </c>
      <c r="C86" s="12">
        <f>B85/1000/$E$80*$C$80/$G$80/C87</f>
        <v>5.38899999999998</v>
      </c>
      <c r="D86" s="4">
        <v>4.445</v>
      </c>
      <c r="E86" s="12">
        <f>D85/1000/$E$80*$C$80/$G$80/E87</f>
        <v>4.445</v>
      </c>
      <c r="F86" s="21">
        <f>F85/1000/$E$80*C80/$G$80/F87</f>
        <v>3.94114334229165</v>
      </c>
      <c r="G86" s="12">
        <f>F85/1000/$E$80*$C$80/$G$80/G87</f>
        <v>3.94114334229165</v>
      </c>
      <c r="H86" s="29"/>
      <c r="I86" s="8"/>
      <c r="J86" s="8"/>
      <c r="K86" s="8"/>
      <c r="L86" s="25"/>
    </row>
    <row r="87" s="1" customFormat="1" ht="15" spans="1:12">
      <c r="A87" s="7" t="s">
        <v>107</v>
      </c>
      <c r="B87" s="8">
        <f>B85/1000/$E$80*$C$80/B86/$G$80</f>
        <v>16.2279946804816</v>
      </c>
      <c r="C87" s="12">
        <f>B87/($D$80/$D$81)</f>
        <v>16.2279946804816</v>
      </c>
      <c r="D87" s="8">
        <f>D85/1000/$E$80*$C$80/D86/$G$80</f>
        <v>17.5419076780269</v>
      </c>
      <c r="E87" s="12">
        <f>D87/($D$80/$D$81)</f>
        <v>17.5419076780269</v>
      </c>
      <c r="F87" s="18">
        <f>F80-B87-D87</f>
        <v>7.71581192720585</v>
      </c>
      <c r="G87" s="12">
        <f>F87/($D$80/$D$81)</f>
        <v>7.71581192720585</v>
      </c>
      <c r="H87" s="29"/>
      <c r="I87" s="8"/>
      <c r="J87" s="8"/>
      <c r="K87" s="8"/>
      <c r="L87" s="25"/>
    </row>
    <row r="88" s="1" customFormat="1" spans="1:12">
      <c r="A88" s="7" t="s">
        <v>108</v>
      </c>
      <c r="B88" s="8">
        <f>$I$80*$I$80*B87*$E$80</f>
        <v>1369.09734735468</v>
      </c>
      <c r="C88" s="8"/>
      <c r="D88" s="8">
        <f>$I$80*$I$80*D87*$E$80</f>
        <v>1479.94744528808</v>
      </c>
      <c r="E88" s="8"/>
      <c r="F88" s="18">
        <f>$I$80*$I$80*F87*$E$80</f>
        <v>650.955207357243</v>
      </c>
      <c r="G88" s="8"/>
      <c r="H88" s="28">
        <f>B88+F88+D88</f>
        <v>3500</v>
      </c>
      <c r="I88" s="8"/>
      <c r="J88" s="8"/>
      <c r="K88" s="8"/>
      <c r="L88" s="25"/>
    </row>
    <row r="89" s="1" customFormat="1" spans="1:12">
      <c r="A89" s="7" t="s">
        <v>109</v>
      </c>
      <c r="B89" s="13">
        <v>224216.852407622</v>
      </c>
      <c r="C89" s="8"/>
      <c r="D89" s="13">
        <v>251355.13234866</v>
      </c>
      <c r="E89" s="8"/>
      <c r="F89" s="22">
        <v>114522.269445424</v>
      </c>
      <c r="G89" s="8"/>
      <c r="H89" s="28">
        <f>B89+D89+F89</f>
        <v>590094.254201706</v>
      </c>
      <c r="I89" s="30"/>
      <c r="J89" s="30"/>
      <c r="K89" s="30"/>
      <c r="L89" s="25"/>
    </row>
    <row r="90" s="1" customFormat="1" spans="1:12">
      <c r="A90" s="7" t="s">
        <v>116</v>
      </c>
      <c r="B90" s="8">
        <f t="shared" ref="B90:F90" si="19">B88/B89*100</f>
        <v>0.61061304386955</v>
      </c>
      <c r="C90" s="8"/>
      <c r="D90" s="8">
        <f t="shared" si="19"/>
        <v>0.588787438497661</v>
      </c>
      <c r="E90" s="8"/>
      <c r="F90" s="8">
        <f t="shared" si="19"/>
        <v>0.568409280142198</v>
      </c>
      <c r="G90" s="29"/>
      <c r="H90" s="8"/>
      <c r="I90" s="8"/>
      <c r="J90" s="8"/>
      <c r="K90" s="8"/>
      <c r="L90" s="25"/>
    </row>
    <row r="91" s="1" customFormat="1" ht="14.25" spans="1:12">
      <c r="A91" s="14" t="s">
        <v>117</v>
      </c>
      <c r="B91" s="15"/>
      <c r="C91" s="15">
        <f>B90-D90</f>
        <v>0.0218256053718886</v>
      </c>
      <c r="D91" s="15"/>
      <c r="E91" s="15">
        <f>D90-F90</f>
        <v>0.0203781583554629</v>
      </c>
      <c r="F91" s="15"/>
      <c r="G91" s="15"/>
      <c r="H91" s="15"/>
      <c r="I91" s="15"/>
      <c r="J91" s="15"/>
      <c r="K91" s="15"/>
      <c r="L91" s="31"/>
    </row>
    <row r="92" s="1" customFormat="1" ht="14.25" spans="4:5">
      <c r="D92" s="11">
        <v>13157.6792619118</v>
      </c>
      <c r="E92" s="1">
        <f>D92/$E$85*$D$86</f>
        <v>3.90037009758321</v>
      </c>
    </row>
    <row r="93" s="1" customFormat="1" spans="4:5">
      <c r="D93" s="11">
        <v>16832.2359799457</v>
      </c>
      <c r="E93" s="1">
        <f>D93/$E$85*$D$86</f>
        <v>4.98962990241679</v>
      </c>
    </row>
    <row r="94" s="1" customFormat="1" ht="14.25" spans="4:4">
      <c r="D94" s="1">
        <f>D93+D92</f>
        <v>29989.9152418575</v>
      </c>
    </row>
    <row r="95" customFormat="1" ht="32.25" spans="1:12">
      <c r="A95" s="5" t="s">
        <v>136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32"/>
    </row>
    <row r="96" customFormat="1" ht="14.25" spans="1:12">
      <c r="A96" s="7" t="s">
        <v>77</v>
      </c>
      <c r="B96" s="8" t="s">
        <v>75</v>
      </c>
      <c r="C96" s="8" t="s">
        <v>46</v>
      </c>
      <c r="D96" s="8" t="s">
        <v>42</v>
      </c>
      <c r="E96" s="8" t="s">
        <v>51</v>
      </c>
      <c r="F96" s="8" t="s">
        <v>87</v>
      </c>
      <c r="G96" s="8" t="s">
        <v>49</v>
      </c>
      <c r="H96" s="8" t="s">
        <v>85</v>
      </c>
      <c r="I96" s="8" t="s">
        <v>88</v>
      </c>
      <c r="J96" s="8" t="s">
        <v>89</v>
      </c>
      <c r="K96" s="8" t="s">
        <v>90</v>
      </c>
      <c r="L96" s="25" t="s">
        <v>91</v>
      </c>
    </row>
    <row r="97" customFormat="1" ht="14.25" spans="1:12">
      <c r="A97" s="7">
        <v>220</v>
      </c>
      <c r="B97" s="8">
        <f>D8</f>
        <v>2800</v>
      </c>
      <c r="C97" s="8">
        <v>0.78</v>
      </c>
      <c r="D97" s="8">
        <f>A97*A97/B97</f>
        <v>17.2857142857143</v>
      </c>
      <c r="E97" s="8">
        <v>3</v>
      </c>
      <c r="F97" s="8">
        <f>D97*E97</f>
        <v>51.8571428571429</v>
      </c>
      <c r="G97" s="8">
        <v>0.1</v>
      </c>
      <c r="H97" s="8">
        <f>B97/A97</f>
        <v>12.7272727272727</v>
      </c>
      <c r="I97" s="8">
        <f>H97/E97</f>
        <v>4.24242424242424</v>
      </c>
      <c r="J97" s="26">
        <v>66757.4521241765</v>
      </c>
      <c r="K97" s="8">
        <f>J97/E97/1000*C97/G97/F97</f>
        <v>3.34706784754824</v>
      </c>
      <c r="L97" s="131" t="s">
        <v>137</v>
      </c>
    </row>
    <row r="98" customFormat="1" ht="14.25" spans="1:12">
      <c r="A98" s="7"/>
      <c r="B98" s="8"/>
      <c r="C98" s="8"/>
      <c r="D98" s="8">
        <f>D97/1</f>
        <v>17.2857142857143</v>
      </c>
      <c r="E98" s="8"/>
      <c r="F98" s="8"/>
      <c r="G98" s="8"/>
      <c r="H98" s="8"/>
      <c r="I98" s="8"/>
      <c r="J98" s="8"/>
      <c r="K98" s="8"/>
      <c r="L98" s="25"/>
    </row>
    <row r="99" customFormat="1" ht="14.25" spans="1:12">
      <c r="A99" s="7"/>
      <c r="B99" s="8"/>
      <c r="C99" s="8"/>
      <c r="D99" s="8"/>
      <c r="E99" s="8"/>
      <c r="F99" s="8"/>
      <c r="G99" s="8"/>
      <c r="H99" s="17"/>
      <c r="I99" s="8"/>
      <c r="J99" s="8"/>
      <c r="K99" s="8"/>
      <c r="L99" s="25"/>
    </row>
    <row r="100" spans="1:12">
      <c r="A100" s="7"/>
      <c r="B100" s="8"/>
      <c r="C100" s="8"/>
      <c r="D100" s="8"/>
      <c r="E100" s="8"/>
      <c r="F100" s="8"/>
      <c r="G100" s="8"/>
      <c r="H100" s="18"/>
      <c r="I100" s="8"/>
      <c r="J100" s="8"/>
      <c r="K100" s="8"/>
      <c r="L100" s="25"/>
    </row>
    <row r="101" spans="1:12">
      <c r="A101" s="7" t="s">
        <v>1</v>
      </c>
      <c r="B101" s="10" t="s">
        <v>135</v>
      </c>
      <c r="C101" s="8"/>
      <c r="D101" s="19" t="s">
        <v>123</v>
      </c>
      <c r="E101" s="8"/>
      <c r="F101" s="8"/>
      <c r="G101" s="8"/>
      <c r="H101" s="8"/>
      <c r="I101" s="8"/>
      <c r="J101" s="8"/>
      <c r="K101" s="8"/>
      <c r="L101" s="25"/>
    </row>
    <row r="102" spans="1:12">
      <c r="A102" s="7" t="s">
        <v>124</v>
      </c>
      <c r="B102" s="128" t="s">
        <v>138</v>
      </c>
      <c r="C102" s="8"/>
      <c r="D102" s="20">
        <v>32160.9151349332</v>
      </c>
      <c r="E102" s="8">
        <f>D102/4</f>
        <v>8040.2287837333</v>
      </c>
      <c r="F102" s="28">
        <f t="shared" ref="F102:F106" si="20">B102+D102</f>
        <v>66757.4521241765</v>
      </c>
      <c r="G102" s="8"/>
      <c r="H102" s="8"/>
      <c r="I102" s="8"/>
      <c r="J102" s="8"/>
      <c r="K102" s="8"/>
      <c r="L102" s="25"/>
    </row>
    <row r="103" spans="1:12">
      <c r="A103" s="7" t="s">
        <v>106</v>
      </c>
      <c r="B103" s="4">
        <v>3</v>
      </c>
      <c r="C103" s="12">
        <f>B102/1000/$E$97*$C$97/$G$97/C104</f>
        <v>3</v>
      </c>
      <c r="D103" s="21">
        <f>D102/1000/$E$97*C97/$G$97/D104</f>
        <v>3.82282055878053</v>
      </c>
      <c r="E103" s="12">
        <f>D102/1000/$E$97*$C$97/$G$97/E104</f>
        <v>3.82282055878054</v>
      </c>
      <c r="F103" s="29"/>
      <c r="G103" s="8"/>
      <c r="H103" s="8"/>
      <c r="I103" s="8"/>
      <c r="J103" s="8"/>
      <c r="K103" s="8"/>
      <c r="L103" s="25"/>
    </row>
    <row r="104" ht="15" spans="1:12">
      <c r="A104" s="7" t="s">
        <v>107</v>
      </c>
      <c r="B104" s="8">
        <f>B102/1000/$E$97*$C$97/B103/$G$97</f>
        <v>29.9836653906775</v>
      </c>
      <c r="C104" s="12">
        <f>B104/($D$97/$D$98)</f>
        <v>29.9836653906775</v>
      </c>
      <c r="D104" s="18">
        <f>F97-B104</f>
        <v>21.8734774664653</v>
      </c>
      <c r="E104" s="12">
        <f>D104/($D$97/$D$98)</f>
        <v>21.8734774664653</v>
      </c>
      <c r="F104" s="29"/>
      <c r="G104" s="8"/>
      <c r="H104" s="8"/>
      <c r="I104" s="8"/>
      <c r="J104" s="8"/>
      <c r="K104" s="8"/>
      <c r="L104" s="25"/>
    </row>
    <row r="105" spans="1:12">
      <c r="A105" s="7" t="s">
        <v>108</v>
      </c>
      <c r="B105" s="8">
        <f>$I$97*$I$97*B104*$E$97</f>
        <v>1618.95273183824</v>
      </c>
      <c r="C105" s="8"/>
      <c r="D105" s="18">
        <f>$I$97*$I$97*D104*$E$97</f>
        <v>1181.04726816176</v>
      </c>
      <c r="E105" s="8"/>
      <c r="F105" s="28">
        <f t="shared" si="20"/>
        <v>2800</v>
      </c>
      <c r="G105" s="8"/>
      <c r="H105" s="8"/>
      <c r="I105" s="8"/>
      <c r="J105" s="8"/>
      <c r="K105" s="8"/>
      <c r="L105" s="25"/>
    </row>
    <row r="106" spans="1:12">
      <c r="A106" s="7" t="s">
        <v>109</v>
      </c>
      <c r="B106" s="127" t="s">
        <v>139</v>
      </c>
      <c r="C106" s="8"/>
      <c r="D106" s="130" t="s">
        <v>140</v>
      </c>
      <c r="E106" s="8"/>
      <c r="F106" s="28">
        <f t="shared" si="20"/>
        <v>471351.99579829</v>
      </c>
      <c r="G106" s="30"/>
      <c r="H106" s="30"/>
      <c r="I106" s="30"/>
      <c r="J106" s="30"/>
      <c r="K106" s="30"/>
      <c r="L106" s="25"/>
    </row>
    <row r="107" spans="1:12">
      <c r="A107" s="7" t="s">
        <v>116</v>
      </c>
      <c r="B107" s="8">
        <f>B105/B106*100</f>
        <v>0.67189845283268</v>
      </c>
      <c r="C107" s="8"/>
      <c r="D107" s="8">
        <f>D105/D106*100</f>
        <v>0.512607321250786</v>
      </c>
      <c r="E107" s="29"/>
      <c r="F107" s="8"/>
      <c r="G107" s="8"/>
      <c r="H107" s="8"/>
      <c r="I107" s="8"/>
      <c r="J107" s="8"/>
      <c r="K107" s="8"/>
      <c r="L107" s="25"/>
    </row>
    <row r="108" ht="14.25" spans="1:12">
      <c r="A108" s="14" t="s">
        <v>117</v>
      </c>
      <c r="B108" s="15"/>
      <c r="C108" s="15">
        <f>B107-D107</f>
        <v>0.159291131581894</v>
      </c>
      <c r="D108" s="15"/>
      <c r="E108" s="15"/>
      <c r="F108" s="15"/>
      <c r="G108" s="15"/>
      <c r="H108" s="15"/>
      <c r="I108" s="15"/>
      <c r="J108" s="15"/>
      <c r="K108" s="15"/>
      <c r="L108" s="31"/>
    </row>
    <row r="109" ht="14.25" hidden="1" spans="4:5">
      <c r="D109" s="132" t="s">
        <v>141</v>
      </c>
      <c r="E109" s="12">
        <f t="shared" ref="E109:E112" si="21">D109/$E$102*$E$103</f>
        <v>3.87071657999344</v>
      </c>
    </row>
    <row r="110" hidden="1" spans="4:5">
      <c r="D110" s="132" t="s">
        <v>142</v>
      </c>
      <c r="E110" s="12">
        <f t="shared" si="21"/>
        <v>3.76023199324393</v>
      </c>
    </row>
    <row r="111" hidden="1" spans="4:5">
      <c r="D111" s="132" t="s">
        <v>143</v>
      </c>
      <c r="E111" s="12">
        <f t="shared" si="21"/>
        <v>3.86622504002681</v>
      </c>
    </row>
    <row r="112" hidden="1" spans="4:5">
      <c r="D112" s="132" t="s">
        <v>144</v>
      </c>
      <c r="E112" s="12">
        <f t="shared" si="21"/>
        <v>3.79410862185796</v>
      </c>
    </row>
    <row r="113" hidden="1"/>
    <row r="114" ht="14.25"/>
  </sheetData>
  <sheetProtection algorithmName="SHA-512" hashValue="VVdh5XsZj/blvnh6WNVzUdclvYt8+oY0PyA4HhBpi89fmjWrLXAnCdKvm5dLymcCmikax7nRaANYSHtLyGDJGw==" saltValue="5KclDMeAnPbxDeqZ+Ngkcg==" spinCount="100000" sheet="1" objects="1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0" master="" otherUserPermission="visible"/>
  <rangeList sheetStid="1" master="" otherUserPermission="visible"/>
  <rangeList sheetStid="1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个人版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线路计算</vt:lpstr>
      <vt:lpstr>线路计算(旧)</vt:lpstr>
      <vt:lpstr>功率分布(000)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WPS_1764483362</cp:lastModifiedBy>
  <cp:revision>1</cp:revision>
  <dcterms:created xsi:type="dcterms:W3CDTF">2021-03-17T03:13:00Z</dcterms:created>
  <dcterms:modified xsi:type="dcterms:W3CDTF">2026-09-01T02:53:34Z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2052-12.8.2.21555</vt:lpwstr>
  </property>
  <property fmtid="{D5CDD505-2E9C-101B-9397-08002B2CF9AE}" pid="3" name="ICV">
    <vt:lpwstr>98D3FD7A49684BDA8A6D510944724595_13</vt:lpwstr>
  </property>
  <property fmtid="{D5CDD505-2E9C-101B-9397-08002B2CF9AE}" pid="4" name="KSOReadingLayout">
    <vt:bool>false</vt:bool>
  </property>
</Properties>
</file>