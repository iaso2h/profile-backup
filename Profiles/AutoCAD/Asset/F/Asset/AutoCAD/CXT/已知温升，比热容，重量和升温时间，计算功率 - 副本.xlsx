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445" windowHeight="9840" activeTab="2"/>
  </bookViews>
  <sheets>
    <sheet name="加热膜功率" sheetId="5" r:id="rId1"/>
    <sheet name="全路程---6450#加热膜功率" sheetId="8" r:id="rId2"/>
    <sheet name="全路程---72150#加热膜功率" sheetId="7" r:id="rId3"/>
    <sheet name="乐圆---加热膜功率" sheetId="6" r:id="rId4"/>
    <sheet name="超威---加热膜功率" sheetId="4" r:id="rId5"/>
    <sheet name="发热板功率" sheetId="1" r:id="rId6"/>
    <sheet name="3块发热板-各块功率" sheetId="2" r:id="rId7"/>
  </sheets>
  <calcPr calcId="144525"/>
</workbook>
</file>

<file path=xl/sharedStrings.xml><?xml version="1.0" encoding="utf-8"?>
<sst xmlns="http://schemas.openxmlformats.org/spreadsheetml/2006/main" count="145" uniqueCount="67">
  <si>
    <t>储能电池、动力电池加热膜功率计算</t>
  </si>
  <si>
    <t>已知条件如下：</t>
  </si>
  <si>
    <t>功率</t>
  </si>
  <si>
    <t>电池模组重量  m（kg）</t>
  </si>
  <si>
    <t>升温时间   （H单位为小时）</t>
  </si>
  <si>
    <t>功率对应的温升</t>
  </si>
  <si>
    <t>表面温升    △t（℃）</t>
  </si>
  <si>
    <t>电池比热容   c</t>
  </si>
  <si>
    <t>热损耗</t>
  </si>
  <si>
    <t>功率计算 公式</t>
  </si>
  <si>
    <t>P=c*m*△t/H</t>
  </si>
  <si>
    <t>功率（W）</t>
  </si>
  <si>
    <t>大表面积</t>
  </si>
  <si>
    <t>小表面积</t>
  </si>
  <si>
    <t>总面积</t>
  </si>
  <si>
    <t>升温时间   （H 单位为秒）</t>
  </si>
  <si>
    <t>功率对应的温升
（H 单位为秒）</t>
  </si>
  <si>
    <t>换算成小时</t>
  </si>
  <si>
    <t>钠离子比热容</t>
  </si>
  <si>
    <t>1575-1620</t>
  </si>
  <si>
    <t>求发热板功率的功率</t>
  </si>
  <si>
    <t>铝板重量m    （kg）</t>
  </si>
  <si>
    <t>转化成克(g)</t>
  </si>
  <si>
    <t>铝板比热容c      (J/g.℃)</t>
  </si>
  <si>
    <t>黄色填充的信息为手工输入的数据</t>
  </si>
  <si>
    <t>升温时间H   （min）</t>
  </si>
  <si>
    <t>转化成秒(s)</t>
  </si>
  <si>
    <t>蓝色为根据已知条件计算出来的功率</t>
  </si>
  <si>
    <t>温升△t      （℃）</t>
  </si>
  <si>
    <t>铝板发热板组件功率密度参照</t>
  </si>
  <si>
    <t>0.454w/cm²</t>
  </si>
  <si>
    <t>功率计算公式</t>
  </si>
  <si>
    <t>长</t>
  </si>
  <si>
    <t>宽</t>
  </si>
  <si>
    <t>高</t>
  </si>
  <si>
    <t>密度</t>
  </si>
  <si>
    <t>重量（g）</t>
  </si>
  <si>
    <t>重量（kg）</t>
  </si>
  <si>
    <t>温升</t>
  </si>
  <si>
    <t>比热容</t>
  </si>
  <si>
    <t>重量</t>
  </si>
  <si>
    <t>升温时间</t>
  </si>
  <si>
    <t>单位</t>
  </si>
  <si>
    <t>W</t>
  </si>
  <si>
    <t>J/g.℃</t>
  </si>
  <si>
    <t>g</t>
  </si>
  <si>
    <t>℃</t>
  </si>
  <si>
    <t>s</t>
  </si>
  <si>
    <t>加热板</t>
  </si>
  <si>
    <t>电压（v）</t>
  </si>
  <si>
    <t>功率（w）</t>
  </si>
  <si>
    <t>功率密度（w/cm²）</t>
  </si>
  <si>
    <t>红色文字和红色填充的文字都是根据实际需求手动输入的数据</t>
  </si>
  <si>
    <t>长（mm）</t>
  </si>
  <si>
    <t>宽（mm）</t>
  </si>
  <si>
    <t>左-发热板</t>
  </si>
  <si>
    <t>间隙</t>
  </si>
  <si>
    <t>中-发热板</t>
  </si>
  <si>
    <t>右-发热板</t>
  </si>
  <si>
    <t>验证总宽度</t>
  </si>
  <si>
    <t>（mm）</t>
  </si>
  <si>
    <t>表面积</t>
  </si>
  <si>
    <t>验证表面积</t>
  </si>
  <si>
    <t>验证功率</t>
  </si>
  <si>
    <r>
      <rPr>
        <sz val="11"/>
        <color theme="1"/>
        <rFont val="宋体"/>
        <charset val="134"/>
        <scheme val="minor"/>
      </rPr>
      <t>假设旁边单块比中间多</t>
    </r>
    <r>
      <rPr>
        <sz val="11"/>
        <color rgb="FFFF0000"/>
        <rFont val="宋体"/>
        <charset val="134"/>
        <scheme val="minor"/>
      </rPr>
      <t>60w</t>
    </r>
    <r>
      <rPr>
        <sz val="11"/>
        <color theme="1"/>
        <rFont val="宋体"/>
        <charset val="134"/>
        <scheme val="minor"/>
      </rPr>
      <t>功率时，即中间需要减</t>
    </r>
    <r>
      <rPr>
        <sz val="11"/>
        <color rgb="FFFF0000"/>
        <rFont val="宋体"/>
        <charset val="134"/>
        <scheme val="minor"/>
      </rPr>
      <t>120w</t>
    </r>
  </si>
  <si>
    <t>假设中间功率为</t>
  </si>
  <si>
    <t>旁边单块功率为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</si>
</sst>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Border="1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0</xdr:row>
      <xdr:rowOff>635</xdr:rowOff>
    </xdr:from>
    <xdr:to>
      <xdr:col>19</xdr:col>
      <xdr:colOff>19685</xdr:colOff>
      <xdr:row>16</xdr:row>
      <xdr:rowOff>112395</xdr:rowOff>
    </xdr:to>
    <xdr:pic>
      <xdr:nvPicPr>
        <xdr:cNvPr id="2" name="图片 1" descr="4f17a2190efddea4403d3a4d6ecab0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58535" y="635"/>
          <a:ext cx="8220710" cy="46393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0</xdr:row>
      <xdr:rowOff>635</xdr:rowOff>
    </xdr:from>
    <xdr:to>
      <xdr:col>19</xdr:col>
      <xdr:colOff>19685</xdr:colOff>
      <xdr:row>17</xdr:row>
      <xdr:rowOff>29845</xdr:rowOff>
    </xdr:to>
    <xdr:pic>
      <xdr:nvPicPr>
        <xdr:cNvPr id="2" name="图片 1" descr="4f17a2190efddea4403d3a4d6ecab0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63310" y="635"/>
          <a:ext cx="8220710" cy="46393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0</xdr:row>
      <xdr:rowOff>635</xdr:rowOff>
    </xdr:from>
    <xdr:to>
      <xdr:col>19</xdr:col>
      <xdr:colOff>19685</xdr:colOff>
      <xdr:row>17</xdr:row>
      <xdr:rowOff>29845</xdr:rowOff>
    </xdr:to>
    <xdr:pic>
      <xdr:nvPicPr>
        <xdr:cNvPr id="2" name="图片 1" descr="4f17a2190efddea4403d3a4d6ecab0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63310" y="635"/>
          <a:ext cx="8220710" cy="463931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16</xdr:row>
      <xdr:rowOff>57150</xdr:rowOff>
    </xdr:from>
    <xdr:to>
      <xdr:col>15</xdr:col>
      <xdr:colOff>454025</xdr:colOff>
      <xdr:row>23</xdr:row>
      <xdr:rowOff>106045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25135" y="4495800"/>
          <a:ext cx="6550025" cy="12490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0</xdr:row>
      <xdr:rowOff>635</xdr:rowOff>
    </xdr:from>
    <xdr:to>
      <xdr:col>19</xdr:col>
      <xdr:colOff>19685</xdr:colOff>
      <xdr:row>17</xdr:row>
      <xdr:rowOff>29845</xdr:rowOff>
    </xdr:to>
    <xdr:pic>
      <xdr:nvPicPr>
        <xdr:cNvPr id="2" name="图片 1" descr="4f17a2190efddea4403d3a4d6ecab0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63310" y="635"/>
          <a:ext cx="8220710" cy="46393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942340</xdr:colOff>
      <xdr:row>0</xdr:row>
      <xdr:rowOff>635</xdr:rowOff>
    </xdr:from>
    <xdr:to>
      <xdr:col>16</xdr:col>
      <xdr:colOff>104775</xdr:colOff>
      <xdr:row>11</xdr:row>
      <xdr:rowOff>189230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24475" y="635"/>
          <a:ext cx="6982460" cy="3579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857250</xdr:colOff>
      <xdr:row>10</xdr:row>
      <xdr:rowOff>114300</xdr:rowOff>
    </xdr:from>
    <xdr:to>
      <xdr:col>7</xdr:col>
      <xdr:colOff>180975</xdr:colOff>
      <xdr:row>12</xdr:row>
      <xdr:rowOff>144780</xdr:rowOff>
    </xdr:to>
    <xdr:sp>
      <xdr:nvSpPr>
        <xdr:cNvPr id="5" name="线形标注 3 4"/>
        <xdr:cNvSpPr/>
      </xdr:nvSpPr>
      <xdr:spPr>
        <a:xfrm>
          <a:off x="3315335" y="3333750"/>
          <a:ext cx="2895600" cy="459105"/>
        </a:xfrm>
        <a:prstGeom prst="borderCallout3">
          <a:avLst>
            <a:gd name="adj1" fmla="val 18750"/>
            <a:gd name="adj2" fmla="val -8333"/>
            <a:gd name="adj3" fmla="val 18750"/>
            <a:gd name="adj4" fmla="val -16667"/>
            <a:gd name="adj5" fmla="val 17012"/>
            <a:gd name="adj6" fmla="val -62719"/>
            <a:gd name="adj7" fmla="val 77731"/>
            <a:gd name="adj8" fmla="val -7839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600" b="1"/>
            <a:t>客户反馈实际</a:t>
          </a:r>
          <a:r>
            <a:rPr lang="en-US" altLang="zh-CN" sz="1600" b="1"/>
            <a:t>1</a:t>
          </a:r>
          <a:r>
            <a:rPr lang="zh-CN" altLang="en-US" sz="1600" b="1"/>
            <a:t>小时温升</a:t>
          </a:r>
          <a:r>
            <a:rPr lang="en-US" altLang="zh-CN" sz="1600" b="1"/>
            <a:t>21</a:t>
          </a:r>
          <a:r>
            <a:rPr lang="zh-CN" altLang="en-US" sz="1600" b="1"/>
            <a:t>℃</a:t>
          </a:r>
          <a:endParaRPr lang="zh-CN" altLang="en-US" sz="16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591185</xdr:colOff>
      <xdr:row>0</xdr:row>
      <xdr:rowOff>77470</xdr:rowOff>
    </xdr:from>
    <xdr:to>
      <xdr:col>24</xdr:col>
      <xdr:colOff>600710</xdr:colOff>
      <xdr:row>24</xdr:row>
      <xdr:rowOff>10795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90600" y="77470"/>
          <a:ext cx="5495925" cy="5895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85725</xdr:colOff>
      <xdr:row>3</xdr:row>
      <xdr:rowOff>200025</xdr:rowOff>
    </xdr:from>
    <xdr:to>
      <xdr:col>2</xdr:col>
      <xdr:colOff>619125</xdr:colOff>
      <xdr:row>3</xdr:row>
      <xdr:rowOff>361950</xdr:rowOff>
    </xdr:to>
    <xdr:sp>
      <xdr:nvSpPr>
        <xdr:cNvPr id="3" name="右箭头 2"/>
        <xdr:cNvSpPr/>
      </xdr:nvSpPr>
      <xdr:spPr>
        <a:xfrm>
          <a:off x="2477135" y="1104900"/>
          <a:ext cx="533400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95250</xdr:colOff>
      <xdr:row>4</xdr:row>
      <xdr:rowOff>200025</xdr:rowOff>
    </xdr:from>
    <xdr:to>
      <xdr:col>2</xdr:col>
      <xdr:colOff>628650</xdr:colOff>
      <xdr:row>4</xdr:row>
      <xdr:rowOff>361950</xdr:rowOff>
    </xdr:to>
    <xdr:sp>
      <xdr:nvSpPr>
        <xdr:cNvPr id="4" name="右箭头 3"/>
        <xdr:cNvSpPr/>
      </xdr:nvSpPr>
      <xdr:spPr>
        <a:xfrm>
          <a:off x="2486660" y="1619250"/>
          <a:ext cx="533400" cy="1619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276225</xdr:colOff>
      <xdr:row>0</xdr:row>
      <xdr:rowOff>199390</xdr:rowOff>
    </xdr:from>
    <xdr:to>
      <xdr:col>17</xdr:col>
      <xdr:colOff>26670</xdr:colOff>
      <xdr:row>11</xdr:row>
      <xdr:rowOff>441325</xdr:rowOff>
    </xdr:to>
    <xdr:grpSp>
      <xdr:nvGrpSpPr>
        <xdr:cNvPr id="19" name="组合 18"/>
        <xdr:cNvGrpSpPr/>
      </xdr:nvGrpSpPr>
      <xdr:grpSpPr>
        <a:xfrm>
          <a:off x="9642475" y="199390"/>
          <a:ext cx="3179445" cy="3131185"/>
          <a:chOff x="16515" y="4199"/>
          <a:chExt cx="5007" cy="4921"/>
        </a:xfrm>
      </xdr:grpSpPr>
      <xdr:sp>
        <xdr:nvSpPr>
          <xdr:cNvPr id="2" name="矩形 1"/>
          <xdr:cNvSpPr/>
        </xdr:nvSpPr>
        <xdr:spPr>
          <a:xfrm>
            <a:off x="16528" y="4199"/>
            <a:ext cx="4995" cy="157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zh-CN" altLang="en-US" sz="1100"/>
          </a:p>
        </xdr:txBody>
      </xdr:sp>
      <xdr:sp>
        <xdr:nvSpPr>
          <xdr:cNvPr id="3" name="矩形 2"/>
          <xdr:cNvSpPr/>
        </xdr:nvSpPr>
        <xdr:spPr>
          <a:xfrm>
            <a:off x="16515" y="5880"/>
            <a:ext cx="4995" cy="159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>
        <xdr:nvSpPr>
          <xdr:cNvPr id="4" name="矩形 3"/>
          <xdr:cNvSpPr/>
        </xdr:nvSpPr>
        <xdr:spPr>
          <a:xfrm>
            <a:off x="16515" y="7530"/>
            <a:ext cx="4995" cy="159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  <xdr:sp>
        <xdr:nvSpPr>
          <xdr:cNvPr id="5" name="文本框 4"/>
          <xdr:cNvSpPr txBox="1"/>
        </xdr:nvSpPr>
        <xdr:spPr>
          <a:xfrm>
            <a:off x="18810" y="7965"/>
            <a:ext cx="616" cy="48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p>
            <a:pPr algn="l"/>
            <a:r>
              <a:rPr lang="zh-CN" altLang="en-US" sz="1400" b="1"/>
              <a:t>左</a:t>
            </a:r>
            <a:endParaRPr lang="zh-CN" altLang="en-US" sz="1400" b="1"/>
          </a:p>
        </xdr:txBody>
      </xdr:sp>
      <xdr:sp>
        <xdr:nvSpPr>
          <xdr:cNvPr id="6" name="文本框 5"/>
          <xdr:cNvSpPr txBox="1"/>
        </xdr:nvSpPr>
        <xdr:spPr>
          <a:xfrm>
            <a:off x="18810" y="6405"/>
            <a:ext cx="616" cy="4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400" b="1"/>
              <a:t>中</a:t>
            </a:r>
            <a:endParaRPr lang="zh-CN" altLang="en-US" sz="1400" b="1"/>
          </a:p>
        </xdr:txBody>
      </xdr:sp>
      <xdr:sp>
        <xdr:nvSpPr>
          <xdr:cNvPr id="7" name="文本框 6"/>
          <xdr:cNvSpPr txBox="1"/>
        </xdr:nvSpPr>
        <xdr:spPr>
          <a:xfrm>
            <a:off x="18840" y="4650"/>
            <a:ext cx="616" cy="48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zh-CN" altLang="en-US" sz="1400" b="1"/>
              <a:t>右</a:t>
            </a:r>
            <a:endParaRPr lang="zh-CN" altLang="en-US" sz="1400" b="1"/>
          </a:p>
        </xdr:txBody>
      </xdr:sp>
    </xdr:grpSp>
    <xdr:clientData/>
  </xdr:twoCellAnchor>
  <xdr:twoCellAnchor>
    <xdr:from>
      <xdr:col>12</xdr:col>
      <xdr:colOff>295275</xdr:colOff>
      <xdr:row>0</xdr:row>
      <xdr:rowOff>190500</xdr:rowOff>
    </xdr:from>
    <xdr:to>
      <xdr:col>18</xdr:col>
      <xdr:colOff>352425</xdr:colOff>
      <xdr:row>15</xdr:row>
      <xdr:rowOff>94615</xdr:rowOff>
    </xdr:to>
    <xdr:grpSp>
      <xdr:nvGrpSpPr>
        <xdr:cNvPr id="21" name="组合 20"/>
        <xdr:cNvGrpSpPr/>
      </xdr:nvGrpSpPr>
      <xdr:grpSpPr>
        <a:xfrm>
          <a:off x="9661525" y="190500"/>
          <a:ext cx="4171950" cy="3777615"/>
          <a:chOff x="16515" y="4200"/>
          <a:chExt cx="6570" cy="5939"/>
        </a:xfrm>
      </xdr:grpSpPr>
      <xdr:grpSp>
        <xdr:nvGrpSpPr>
          <xdr:cNvPr id="20" name="组合 19"/>
          <xdr:cNvGrpSpPr/>
        </xdr:nvGrpSpPr>
        <xdr:grpSpPr>
          <a:xfrm>
            <a:off x="16515" y="4200"/>
            <a:ext cx="6570" cy="5490"/>
            <a:chOff x="16515" y="4200"/>
            <a:chExt cx="6570" cy="5490"/>
          </a:xfrm>
        </xdr:grpSpPr>
        <xdr:cxnSp>
          <xdr:nvCxnSpPr>
            <xdr:cNvPr id="8" name="直接箭头连接符 7"/>
            <xdr:cNvCxnSpPr/>
          </xdr:nvCxnSpPr>
          <xdr:spPr>
            <a:xfrm>
              <a:off x="22140" y="4200"/>
              <a:ext cx="0" cy="1605"/>
            </a:xfrm>
            <a:prstGeom prst="straightConnector1">
              <a:avLst/>
            </a:prstGeom>
            <a:ln>
              <a:headEnd type="arrow"/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9" name="直接箭头连接符 8"/>
            <xdr:cNvCxnSpPr/>
          </xdr:nvCxnSpPr>
          <xdr:spPr>
            <a:xfrm>
              <a:off x="22125" y="5865"/>
              <a:ext cx="0" cy="1605"/>
            </a:xfrm>
            <a:prstGeom prst="straightConnector1">
              <a:avLst/>
            </a:prstGeom>
            <a:ln>
              <a:headEnd type="arrow"/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10" name="直接箭头连接符 9"/>
            <xdr:cNvCxnSpPr/>
          </xdr:nvCxnSpPr>
          <xdr:spPr>
            <a:xfrm>
              <a:off x="22110" y="7545"/>
              <a:ext cx="0" cy="1605"/>
            </a:xfrm>
            <a:prstGeom prst="straightConnector1">
              <a:avLst/>
            </a:prstGeom>
            <a:ln>
              <a:headEnd type="arrow"/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11" name="直接箭头连接符 10"/>
            <xdr:cNvCxnSpPr/>
          </xdr:nvCxnSpPr>
          <xdr:spPr>
            <a:xfrm>
              <a:off x="16515" y="9690"/>
              <a:ext cx="4980" cy="0"/>
            </a:xfrm>
            <a:prstGeom prst="straightConnector1">
              <a:avLst/>
            </a:prstGeom>
            <a:ln>
              <a:headEnd type="arrow"/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2" name="文本框 11"/>
            <xdr:cNvSpPr txBox="1"/>
          </xdr:nvSpPr>
          <xdr:spPr>
            <a:xfrm>
              <a:off x="22155" y="4665"/>
              <a:ext cx="930" cy="464"/>
            </a:xfrm>
            <a:prstGeom prst="rect">
              <a:avLst/>
            </a:prstGeom>
            <a:solidFill>
              <a:schemeClr val="bg1"/>
            </a:solidFill>
            <a:ln w="12700" cmpd="sng">
              <a:solidFill>
                <a:schemeClr val="accent1">
                  <a:shade val="50000"/>
                </a:schemeClr>
              </a:solidFill>
              <a:prstDash val="soli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</a:bodyPr>
            <a:p>
              <a:pPr algn="l"/>
              <a:r>
                <a:rPr lang="en-US" altLang="zh-CN" sz="1400"/>
                <a:t>B270</a:t>
              </a:r>
              <a:endParaRPr lang="en-US" altLang="zh-CN" sz="1400"/>
            </a:p>
          </xdr:txBody>
        </xdr:sp>
        <xdr:sp>
          <xdr:nvSpPr>
            <xdr:cNvPr id="14" name="文本框 13"/>
            <xdr:cNvSpPr txBox="1"/>
          </xdr:nvSpPr>
          <xdr:spPr>
            <a:xfrm>
              <a:off x="22140" y="6390"/>
              <a:ext cx="930" cy="464"/>
            </a:xfrm>
            <a:prstGeom prst="rect">
              <a:avLst/>
            </a:prstGeom>
            <a:solidFill>
              <a:schemeClr val="bg1"/>
            </a:solidFill>
            <a:ln w="12700" cmpd="sng">
              <a:solidFill>
                <a:schemeClr val="accent1">
                  <a:shade val="50000"/>
                </a:schemeClr>
              </a:solidFill>
              <a:prstDash val="soli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</a:bodyPr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400"/>
                <a:t>B293</a:t>
              </a:r>
              <a:endParaRPr lang="en-US" altLang="zh-CN" sz="1400"/>
            </a:p>
          </xdr:txBody>
        </xdr:sp>
        <xdr:sp>
          <xdr:nvSpPr>
            <xdr:cNvPr id="15" name="文本框 14"/>
            <xdr:cNvSpPr txBox="1"/>
          </xdr:nvSpPr>
          <xdr:spPr>
            <a:xfrm>
              <a:off x="22125" y="8055"/>
              <a:ext cx="930" cy="464"/>
            </a:xfrm>
            <a:prstGeom prst="rect">
              <a:avLst/>
            </a:prstGeom>
            <a:solidFill>
              <a:schemeClr val="bg1"/>
            </a:solidFill>
            <a:ln w="12700" cmpd="sng">
              <a:solidFill>
                <a:schemeClr val="accent1">
                  <a:shade val="50000"/>
                </a:schemeClr>
              </a:solidFill>
              <a:prstDash val="solid"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</a:bodyPr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400"/>
                <a:t>B270</a:t>
              </a:r>
              <a:endParaRPr lang="en-US" altLang="zh-CN" sz="1400"/>
            </a:p>
          </xdr:txBody>
        </xdr:sp>
      </xdr:grpSp>
      <xdr:sp>
        <xdr:nvSpPr>
          <xdr:cNvPr id="16" name="文本框 15"/>
          <xdr:cNvSpPr txBox="1"/>
        </xdr:nvSpPr>
        <xdr:spPr>
          <a:xfrm>
            <a:off x="18525" y="9675"/>
            <a:ext cx="1153" cy="464"/>
          </a:xfrm>
          <a:prstGeom prst="rect">
            <a:avLst/>
          </a:prstGeom>
          <a:solidFill>
            <a:schemeClr val="bg1"/>
          </a:solidFill>
          <a:ln w="12700" cmpd="sng">
            <a:solidFill>
              <a:schemeClr val="accent1">
                <a:shade val="50000"/>
              </a:schemeClr>
            </a:solidFill>
            <a:prstDash val="soli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zh-CN" sz="1400"/>
              <a:t>1377.5</a:t>
            </a:r>
            <a:endParaRPr lang="en-US" altLang="zh-CN" sz="1400"/>
          </a:p>
        </xdr:txBody>
      </xdr:sp>
    </xdr:grpSp>
    <xdr:clientData/>
  </xdr:twoCellAnchor>
  <xdr:twoCellAnchor>
    <xdr:from>
      <xdr:col>1</xdr:col>
      <xdr:colOff>533400</xdr:colOff>
      <xdr:row>10</xdr:row>
      <xdr:rowOff>19050</xdr:rowOff>
    </xdr:from>
    <xdr:to>
      <xdr:col>6</xdr:col>
      <xdr:colOff>47625</xdr:colOff>
      <xdr:row>12</xdr:row>
      <xdr:rowOff>38100</xdr:rowOff>
    </xdr:to>
    <xdr:cxnSp>
      <xdr:nvCxnSpPr>
        <xdr:cNvPr id="17" name="直接箭头连接符 16"/>
        <xdr:cNvCxnSpPr/>
      </xdr:nvCxnSpPr>
      <xdr:spPr>
        <a:xfrm flipV="1">
          <a:off x="1219200" y="2438400"/>
          <a:ext cx="3315335" cy="958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314325</xdr:colOff>
      <xdr:row>10</xdr:row>
      <xdr:rowOff>361950</xdr:rowOff>
    </xdr:from>
    <xdr:ext cx="1300480" cy="276860"/>
    <xdr:sp>
      <xdr:nvSpPr>
        <xdr:cNvPr id="18" name="文本框 17"/>
        <xdr:cNvSpPr txBox="1"/>
      </xdr:nvSpPr>
      <xdr:spPr>
        <a:xfrm>
          <a:off x="3152775" y="2781300"/>
          <a:ext cx="13004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zh-CN" altLang="en-US" sz="1100"/>
            <a:t>参照此数据取整数</a:t>
          </a:r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D15" sqref="D15"/>
    </sheetView>
  </sheetViews>
  <sheetFormatPr defaultColWidth="9" defaultRowHeight="13.5" outlineLevelCol="6"/>
  <cols>
    <col min="1" max="1" width="13.8833333333333" style="1" customWidth="1"/>
    <col min="2" max="2" width="9.375"/>
    <col min="4" max="6" width="12.625"/>
  </cols>
  <sheetData>
    <row r="1" ht="25.5" spans="1:7">
      <c r="A1" s="24" t="s">
        <v>0</v>
      </c>
      <c r="B1" s="24"/>
      <c r="C1" s="24"/>
      <c r="D1" s="24"/>
      <c r="E1" s="24"/>
      <c r="F1" s="24"/>
      <c r="G1" s="24"/>
    </row>
    <row r="3" ht="28.5" spans="1:4">
      <c r="A3" s="25" t="s">
        <v>1</v>
      </c>
      <c r="D3" t="s">
        <v>2</v>
      </c>
    </row>
    <row r="4" ht="27" spans="1:4">
      <c r="A4" s="26" t="s">
        <v>3</v>
      </c>
      <c r="B4" s="27">
        <v>25.5</v>
      </c>
      <c r="D4">
        <v>159</v>
      </c>
    </row>
    <row r="5" ht="49" customHeight="1" spans="1:4">
      <c r="A5" s="26" t="s">
        <v>4</v>
      </c>
      <c r="B5" s="27">
        <v>1</v>
      </c>
      <c r="D5" t="s">
        <v>5</v>
      </c>
    </row>
    <row r="6" ht="27" spans="1:4">
      <c r="A6" s="26" t="s">
        <v>6</v>
      </c>
      <c r="B6" s="27">
        <v>20</v>
      </c>
      <c r="D6" s="23">
        <f>D4*B5/B4/B7/B8</f>
        <v>19.9849170437406</v>
      </c>
    </row>
    <row r="7" ht="27" spans="1:2">
      <c r="A7" s="26" t="s">
        <v>7</v>
      </c>
      <c r="B7" s="27">
        <v>0.312</v>
      </c>
    </row>
    <row r="8" spans="1:2">
      <c r="A8" s="26" t="s">
        <v>8</v>
      </c>
      <c r="B8" s="27">
        <v>1</v>
      </c>
    </row>
    <row r="9" spans="1:1">
      <c r="A9" s="4"/>
    </row>
    <row r="10" ht="37.5" spans="1:3">
      <c r="A10" s="28" t="s">
        <v>9</v>
      </c>
      <c r="B10" s="29" t="s">
        <v>10</v>
      </c>
      <c r="C10" s="29"/>
    </row>
    <row r="11" spans="1:1">
      <c r="A11" s="3"/>
    </row>
    <row r="12" ht="20.25" spans="1:1">
      <c r="A12" s="19" t="s">
        <v>11</v>
      </c>
    </row>
    <row r="13" ht="20.25" spans="1:2">
      <c r="A13" s="19">
        <f>B7*B4*B6*B8/B5</f>
        <v>159.12</v>
      </c>
      <c r="B13">
        <v>51.2</v>
      </c>
    </row>
    <row r="14" spans="2:2">
      <c r="B14">
        <f>A13/B13</f>
        <v>3.1078125</v>
      </c>
    </row>
    <row r="19" spans="1:4">
      <c r="A19" s="1">
        <v>43.8</v>
      </c>
      <c r="B19">
        <v>20.4</v>
      </c>
      <c r="D19">
        <f>16*5.614</f>
        <v>89.824</v>
      </c>
    </row>
    <row r="20" spans="1:2">
      <c r="A20" s="1">
        <v>29</v>
      </c>
      <c r="B20">
        <v>20.4</v>
      </c>
    </row>
    <row r="22" spans="1:6">
      <c r="A22" s="1" t="s">
        <v>12</v>
      </c>
      <c r="B22">
        <f>4*A19*B19</f>
        <v>3574.08</v>
      </c>
      <c r="D22">
        <f>F22*A19*B19</f>
        <v>29.8861749571183</v>
      </c>
      <c r="E22">
        <f>D22/B14</f>
        <v>9.61646655231561</v>
      </c>
      <c r="F22">
        <f>A13/B24</f>
        <v>0.0334476843910806</v>
      </c>
    </row>
    <row r="23" spans="1:5">
      <c r="A23" s="1" t="s">
        <v>13</v>
      </c>
      <c r="B23">
        <f>2*A20*B20</f>
        <v>1183.2</v>
      </c>
      <c r="D23">
        <f>F22*A20*B20</f>
        <v>19.7876500857633</v>
      </c>
      <c r="E23">
        <f>D23/B14</f>
        <v>6.36706689536878</v>
      </c>
    </row>
    <row r="24" spans="1:2">
      <c r="A24" s="1" t="s">
        <v>14</v>
      </c>
      <c r="B24">
        <f>B22+B23</f>
        <v>4757.28</v>
      </c>
    </row>
  </sheetData>
  <mergeCells count="1">
    <mergeCell ref="A1:G1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B5" sqref="B5"/>
    </sheetView>
  </sheetViews>
  <sheetFormatPr defaultColWidth="9" defaultRowHeight="13.5" outlineLevelCol="6"/>
  <cols>
    <col min="1" max="1" width="13.8833333333333" style="1" customWidth="1"/>
    <col min="2" max="2" width="9.375"/>
    <col min="4" max="5" width="12.625"/>
    <col min="6" max="6" width="14" customWidth="1"/>
  </cols>
  <sheetData>
    <row r="1" ht="25.5" spans="1:7">
      <c r="A1" s="24" t="s">
        <v>0</v>
      </c>
      <c r="B1" s="24"/>
      <c r="C1" s="24"/>
      <c r="D1" s="24"/>
      <c r="E1" s="24"/>
      <c r="F1" s="24"/>
      <c r="G1" s="24"/>
    </row>
    <row r="3" ht="28.5" spans="1:4">
      <c r="A3" s="25" t="s">
        <v>1</v>
      </c>
      <c r="D3" t="s">
        <v>2</v>
      </c>
    </row>
    <row r="4" ht="27" spans="1:6">
      <c r="A4" s="26" t="s">
        <v>3</v>
      </c>
      <c r="B4" s="27">
        <v>20</v>
      </c>
      <c r="D4">
        <v>110</v>
      </c>
      <c r="F4">
        <v>200</v>
      </c>
    </row>
    <row r="5" ht="42" customHeight="1" spans="1:6">
      <c r="A5" s="26" t="s">
        <v>15</v>
      </c>
      <c r="B5" s="27">
        <v>3600</v>
      </c>
      <c r="D5" t="s">
        <v>5</v>
      </c>
      <c r="F5" s="1" t="s">
        <v>16</v>
      </c>
    </row>
    <row r="6" ht="27" spans="1:6">
      <c r="A6" s="26" t="s">
        <v>6</v>
      </c>
      <c r="B6" s="27">
        <v>27.5</v>
      </c>
      <c r="D6" s="23">
        <f>D4*B5/B4/B7/B8</f>
        <v>15.1220071027609</v>
      </c>
      <c r="F6">
        <f>B7*B4*B6*B8/F4</f>
        <v>3600.7125</v>
      </c>
    </row>
    <row r="7" ht="27" spans="1:6">
      <c r="A7" s="26" t="s">
        <v>7</v>
      </c>
      <c r="B7" s="27">
        <v>1050</v>
      </c>
      <c r="F7" t="s">
        <v>17</v>
      </c>
    </row>
    <row r="8" spans="1:6">
      <c r="A8" s="26" t="s">
        <v>8</v>
      </c>
      <c r="B8" s="27">
        <v>1.247</v>
      </c>
      <c r="F8">
        <f>F6/3600</f>
        <v>1.00019791666667</v>
      </c>
    </row>
    <row r="9" spans="1:1">
      <c r="A9" s="4"/>
    </row>
    <row r="10" ht="37.5" spans="1:3">
      <c r="A10" s="28" t="s">
        <v>9</v>
      </c>
      <c r="B10" s="29" t="s">
        <v>10</v>
      </c>
      <c r="C10" s="29"/>
    </row>
    <row r="11" spans="1:1">
      <c r="A11" s="3"/>
    </row>
    <row r="12" ht="20.25" spans="1:1">
      <c r="A12" s="19" t="s">
        <v>11</v>
      </c>
    </row>
    <row r="13" ht="20.25" spans="1:2">
      <c r="A13" s="19">
        <f>B7*B4*B6*B8/B5</f>
        <v>200.039583333333</v>
      </c>
      <c r="B13">
        <v>51.2</v>
      </c>
    </row>
    <row r="14" spans="2:2">
      <c r="B14">
        <f>A13/B13</f>
        <v>3.90702311197917</v>
      </c>
    </row>
    <row r="19" spans="1:4">
      <c r="A19" s="1">
        <v>43.8</v>
      </c>
      <c r="B19">
        <v>20.4</v>
      </c>
      <c r="D19">
        <f>16*5.614</f>
        <v>89.824</v>
      </c>
    </row>
    <row r="20" spans="1:2">
      <c r="A20" s="1">
        <v>29</v>
      </c>
      <c r="B20">
        <v>20.4</v>
      </c>
    </row>
    <row r="22" spans="1:6">
      <c r="A22" s="1" t="s">
        <v>12</v>
      </c>
      <c r="B22">
        <f>4*A19*B19</f>
        <v>3574.08</v>
      </c>
      <c r="D22">
        <f>F22*A19*B19</f>
        <v>37.5717570754717</v>
      </c>
      <c r="E22">
        <f>D22/B14</f>
        <v>9.61646655231561</v>
      </c>
      <c r="F22">
        <f>A13/B24</f>
        <v>0.0420491506350968</v>
      </c>
    </row>
    <row r="23" spans="1:5">
      <c r="A23" s="1" t="s">
        <v>13</v>
      </c>
      <c r="B23">
        <f>2*A20*B20</f>
        <v>1183.2</v>
      </c>
      <c r="D23">
        <f>F22*A20*B20</f>
        <v>24.8762775157233</v>
      </c>
      <c r="E23">
        <f>D23/B14</f>
        <v>6.36706689536878</v>
      </c>
    </row>
    <row r="24" spans="1:2">
      <c r="A24" s="1" t="s">
        <v>14</v>
      </c>
      <c r="B24">
        <f>B22+B23</f>
        <v>4757.28</v>
      </c>
    </row>
  </sheetData>
  <mergeCells count="1">
    <mergeCell ref="A1:G1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J21" sqref="J21"/>
    </sheetView>
  </sheetViews>
  <sheetFormatPr defaultColWidth="9" defaultRowHeight="13.5" outlineLevelCol="6"/>
  <cols>
    <col min="1" max="1" width="13.8833333333333" style="1" customWidth="1"/>
    <col min="2" max="2" width="9.375"/>
    <col min="4" max="5" width="12.625"/>
    <col min="6" max="6" width="14" customWidth="1"/>
  </cols>
  <sheetData>
    <row r="1" ht="25.5" spans="1:7">
      <c r="A1" s="24" t="s">
        <v>0</v>
      </c>
      <c r="B1" s="24"/>
      <c r="C1" s="24"/>
      <c r="D1" s="24"/>
      <c r="E1" s="24"/>
      <c r="F1" s="24"/>
      <c r="G1" s="24"/>
    </row>
    <row r="3" ht="28.5" spans="1:4">
      <c r="A3" s="25" t="s">
        <v>1</v>
      </c>
      <c r="D3" t="s">
        <v>2</v>
      </c>
    </row>
    <row r="4" ht="27" spans="1:6">
      <c r="A4" s="26" t="s">
        <v>3</v>
      </c>
      <c r="B4" s="27">
        <v>45</v>
      </c>
      <c r="D4">
        <v>110</v>
      </c>
      <c r="F4">
        <v>200</v>
      </c>
    </row>
    <row r="5" ht="42" customHeight="1" spans="1:6">
      <c r="A5" s="26" t="s">
        <v>15</v>
      </c>
      <c r="B5" s="27">
        <v>3600</v>
      </c>
      <c r="D5" t="s">
        <v>5</v>
      </c>
      <c r="F5" s="1" t="s">
        <v>16</v>
      </c>
    </row>
    <row r="6" ht="27" spans="1:6">
      <c r="A6" s="26" t="s">
        <v>6</v>
      </c>
      <c r="B6" s="27">
        <v>20</v>
      </c>
      <c r="D6" s="23">
        <f>D4*B5/B4/B7/B8</f>
        <v>7.98185941043084</v>
      </c>
      <c r="F6">
        <f>B7*B4*B6*B8/F4</f>
        <v>4961.25</v>
      </c>
    </row>
    <row r="7" ht="27" spans="1:6">
      <c r="A7" s="26" t="s">
        <v>7</v>
      </c>
      <c r="B7" s="27">
        <v>1050</v>
      </c>
      <c r="F7" t="s">
        <v>17</v>
      </c>
    </row>
    <row r="8" spans="1:6">
      <c r="A8" s="26" t="s">
        <v>8</v>
      </c>
      <c r="B8" s="27">
        <v>1.05</v>
      </c>
      <c r="F8">
        <f>F6/3600</f>
        <v>1.378125</v>
      </c>
    </row>
    <row r="9" spans="1:1">
      <c r="A9" s="4"/>
    </row>
    <row r="10" ht="37.5" spans="1:3">
      <c r="A10" s="28" t="s">
        <v>9</v>
      </c>
      <c r="B10" s="29" t="s">
        <v>10</v>
      </c>
      <c r="C10" s="29"/>
    </row>
    <row r="11" spans="1:1">
      <c r="A11" s="3"/>
    </row>
    <row r="12" ht="20.25" spans="1:1">
      <c r="A12" s="19" t="s">
        <v>11</v>
      </c>
    </row>
    <row r="13" ht="20.25" spans="1:2">
      <c r="A13" s="19">
        <f>B7*B4*B6*B8/B5</f>
        <v>275.625</v>
      </c>
      <c r="B13">
        <v>51.2</v>
      </c>
    </row>
    <row r="14" spans="2:6">
      <c r="B14">
        <f>A13/B13</f>
        <v>5.38330078125</v>
      </c>
      <c r="E14" t="s">
        <v>18</v>
      </c>
      <c r="F14" t="s">
        <v>19</v>
      </c>
    </row>
    <row r="19" spans="1:4">
      <c r="A19" s="1">
        <v>43.8</v>
      </c>
      <c r="B19">
        <v>20.4</v>
      </c>
      <c r="D19">
        <f>16*5.614</f>
        <v>89.824</v>
      </c>
    </row>
    <row r="20" spans="1:2">
      <c r="A20" s="1">
        <v>29</v>
      </c>
      <c r="B20">
        <v>20.4</v>
      </c>
    </row>
    <row r="22" spans="1:6">
      <c r="A22" s="1" t="s">
        <v>12</v>
      </c>
      <c r="B22">
        <f>4*A19*B19</f>
        <v>3574.08</v>
      </c>
      <c r="D22">
        <f>F22*A19*B19</f>
        <v>51.7683319039451</v>
      </c>
      <c r="E22">
        <f>D22/B14</f>
        <v>9.61646655231561</v>
      </c>
      <c r="F22">
        <f>A13/B24</f>
        <v>0.0579375189183735</v>
      </c>
    </row>
    <row r="23" spans="1:5">
      <c r="A23" s="1" t="s">
        <v>13</v>
      </c>
      <c r="B23">
        <f>2*A20*B20</f>
        <v>1183.2</v>
      </c>
      <c r="D23">
        <f>F22*A20*B20</f>
        <v>34.2758361921098</v>
      </c>
      <c r="E23">
        <f>D23/B14</f>
        <v>6.36706689536878</v>
      </c>
    </row>
    <row r="24" spans="1:2">
      <c r="A24" s="1" t="s">
        <v>14</v>
      </c>
      <c r="B24">
        <f>B22+B23</f>
        <v>4757.28</v>
      </c>
    </row>
  </sheetData>
  <mergeCells count="1">
    <mergeCell ref="A1:G1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I23" sqref="I23"/>
    </sheetView>
  </sheetViews>
  <sheetFormatPr defaultColWidth="9" defaultRowHeight="13.5" outlineLevelCol="6"/>
  <cols>
    <col min="1" max="1" width="13.8833333333333" style="1" customWidth="1"/>
    <col min="2" max="2" width="9.375"/>
    <col min="4" max="5" width="12.625"/>
    <col min="6" max="6" width="14" customWidth="1"/>
  </cols>
  <sheetData>
    <row r="1" ht="25.5" spans="1:7">
      <c r="A1" s="24" t="s">
        <v>0</v>
      </c>
      <c r="B1" s="24"/>
      <c r="C1" s="24"/>
      <c r="D1" s="24"/>
      <c r="E1" s="24"/>
      <c r="F1" s="24"/>
      <c r="G1" s="24"/>
    </row>
    <row r="3" ht="28.5" spans="1:4">
      <c r="A3" s="25" t="s">
        <v>1</v>
      </c>
      <c r="D3" t="s">
        <v>2</v>
      </c>
    </row>
    <row r="4" ht="27" spans="1:6">
      <c r="A4" s="26" t="s">
        <v>3</v>
      </c>
      <c r="B4" s="27">
        <v>5.45</v>
      </c>
      <c r="D4">
        <v>62.5</v>
      </c>
      <c r="F4">
        <v>62.5</v>
      </c>
    </row>
    <row r="5" ht="42" customHeight="1" spans="1:6">
      <c r="A5" s="26" t="s">
        <v>15</v>
      </c>
      <c r="B5" s="27">
        <v>1831.2</v>
      </c>
      <c r="D5" t="s">
        <v>5</v>
      </c>
      <c r="F5" s="1" t="s">
        <v>16</v>
      </c>
    </row>
    <row r="6" ht="27" spans="1:6">
      <c r="A6" s="26" t="s">
        <v>6</v>
      </c>
      <c r="B6" s="27">
        <v>20</v>
      </c>
      <c r="D6" s="23">
        <f>D4*B5/B4/B7/B8</f>
        <v>20</v>
      </c>
      <c r="F6">
        <f>B7*B4*B6*B8/F4</f>
        <v>1831.2</v>
      </c>
    </row>
    <row r="7" ht="27" spans="1:6">
      <c r="A7" s="26" t="s">
        <v>7</v>
      </c>
      <c r="B7" s="27">
        <v>1050</v>
      </c>
      <c r="F7" t="s">
        <v>17</v>
      </c>
    </row>
    <row r="8" spans="1:6">
      <c r="A8" s="26" t="s">
        <v>8</v>
      </c>
      <c r="B8" s="27">
        <v>1</v>
      </c>
      <c r="F8">
        <f>F6/3600</f>
        <v>0.508666666666667</v>
      </c>
    </row>
    <row r="9" spans="1:1">
      <c r="A9" s="4"/>
    </row>
    <row r="10" ht="37.5" spans="1:3">
      <c r="A10" s="28" t="s">
        <v>9</v>
      </c>
      <c r="B10" s="29" t="s">
        <v>10</v>
      </c>
      <c r="C10" s="29"/>
    </row>
    <row r="11" spans="1:1">
      <c r="A11" s="3"/>
    </row>
    <row r="12" ht="20.25" spans="1:1">
      <c r="A12" s="19" t="s">
        <v>11</v>
      </c>
    </row>
    <row r="13" ht="20.25" spans="1:2">
      <c r="A13" s="19">
        <f>B7*B4*B6*B8/B5</f>
        <v>62.5</v>
      </c>
      <c r="B13">
        <v>51.2</v>
      </c>
    </row>
    <row r="14" spans="2:2">
      <c r="B14">
        <f>A13/B13</f>
        <v>1.220703125</v>
      </c>
    </row>
    <row r="19" spans="1:4">
      <c r="A19" s="1">
        <v>43.8</v>
      </c>
      <c r="B19">
        <v>20.4</v>
      </c>
      <c r="D19">
        <f>16*5.614</f>
        <v>89.824</v>
      </c>
    </row>
    <row r="20" spans="1:2">
      <c r="A20" s="1">
        <v>29</v>
      </c>
      <c r="B20">
        <v>20.4</v>
      </c>
    </row>
    <row r="22" spans="1:6">
      <c r="A22" s="1" t="s">
        <v>12</v>
      </c>
      <c r="B22">
        <f>4*A19*B19</f>
        <v>3574.08</v>
      </c>
      <c r="D22">
        <f>F22*A19*B19</f>
        <v>11.7388507718696</v>
      </c>
      <c r="E22">
        <f>D22/B14</f>
        <v>9.61646655231561</v>
      </c>
      <c r="F22">
        <f>A13/B24</f>
        <v>0.0131377593919214</v>
      </c>
    </row>
    <row r="23" spans="1:5">
      <c r="A23" s="1" t="s">
        <v>13</v>
      </c>
      <c r="B23">
        <f>2*A20*B20</f>
        <v>1183.2</v>
      </c>
      <c r="D23">
        <f>F22*A20*B20</f>
        <v>7.77229845626072</v>
      </c>
      <c r="E23">
        <f>D23/B14</f>
        <v>6.36706689536878</v>
      </c>
    </row>
    <row r="24" spans="1:2">
      <c r="A24" s="1" t="s">
        <v>14</v>
      </c>
      <c r="B24">
        <f>B22+B23</f>
        <v>4757.28</v>
      </c>
    </row>
  </sheetData>
  <mergeCells count="1">
    <mergeCell ref="A1:G1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F16" sqref="F16"/>
    </sheetView>
  </sheetViews>
  <sheetFormatPr defaultColWidth="9" defaultRowHeight="13.5" outlineLevelCol="6"/>
  <cols>
    <col min="1" max="1" width="13.8833333333333" style="1" customWidth="1"/>
    <col min="2" max="2" width="9.375"/>
    <col min="4" max="6" width="12.625"/>
  </cols>
  <sheetData>
    <row r="1" ht="25.5" spans="1:7">
      <c r="A1" s="24" t="s">
        <v>0</v>
      </c>
      <c r="B1" s="24"/>
      <c r="C1" s="24"/>
      <c r="D1" s="24"/>
      <c r="E1" s="24"/>
      <c r="F1" s="24"/>
      <c r="G1" s="24"/>
    </row>
    <row r="3" ht="28.5" spans="1:4">
      <c r="A3" s="25" t="s">
        <v>1</v>
      </c>
      <c r="D3" t="s">
        <v>2</v>
      </c>
    </row>
    <row r="4" ht="27" spans="1:4">
      <c r="A4" s="26" t="s">
        <v>3</v>
      </c>
      <c r="B4" s="27">
        <v>25.5</v>
      </c>
      <c r="D4">
        <v>240</v>
      </c>
    </row>
    <row r="5" ht="40.5" spans="1:4">
      <c r="A5" s="26" t="s">
        <v>4</v>
      </c>
      <c r="B5" s="27">
        <v>1</v>
      </c>
      <c r="D5" t="s">
        <v>5</v>
      </c>
    </row>
    <row r="6" ht="27" spans="1:4">
      <c r="A6" s="26" t="s">
        <v>6</v>
      </c>
      <c r="B6" s="27">
        <v>21</v>
      </c>
      <c r="D6" s="23">
        <f>D4*B5/B4/B7/B8</f>
        <v>41.8971007206301</v>
      </c>
    </row>
    <row r="7" ht="27" spans="1:2">
      <c r="A7" s="26" t="s">
        <v>7</v>
      </c>
      <c r="B7" s="27">
        <v>0.312</v>
      </c>
    </row>
    <row r="8" spans="1:2">
      <c r="A8" s="26" t="s">
        <v>8</v>
      </c>
      <c r="B8" s="27">
        <v>0.72</v>
      </c>
    </row>
    <row r="9" spans="1:1">
      <c r="A9" s="4"/>
    </row>
    <row r="10" ht="37.5" spans="1:3">
      <c r="A10" s="28" t="s">
        <v>9</v>
      </c>
      <c r="B10" s="29" t="s">
        <v>10</v>
      </c>
      <c r="C10" s="29"/>
    </row>
    <row r="11" spans="1:1">
      <c r="A11" s="3"/>
    </row>
    <row r="12" ht="20.25" spans="1:1">
      <c r="A12" s="19" t="s">
        <v>11</v>
      </c>
    </row>
    <row r="13" ht="20.25" spans="1:2">
      <c r="A13" s="19">
        <f>B7*B4*B6*B8/B5</f>
        <v>120.29472</v>
      </c>
      <c r="B13">
        <v>51.2</v>
      </c>
    </row>
    <row r="14" spans="2:2">
      <c r="B14">
        <f>A13/B13</f>
        <v>2.34950625</v>
      </c>
    </row>
    <row r="19" spans="1:4">
      <c r="A19" s="1">
        <v>43.8</v>
      </c>
      <c r="B19">
        <v>20.4</v>
      </c>
      <c r="D19">
        <f>16*5.614</f>
        <v>89.824</v>
      </c>
    </row>
    <row r="20" spans="1:2">
      <c r="A20" s="1">
        <v>29</v>
      </c>
      <c r="B20">
        <v>20.4</v>
      </c>
    </row>
    <row r="22" spans="1:6">
      <c r="A22" s="1" t="s">
        <v>12</v>
      </c>
      <c r="B22">
        <f>4*A19*B19</f>
        <v>3574.08</v>
      </c>
      <c r="D22">
        <f>F22*A19*B19</f>
        <v>22.5939482675815</v>
      </c>
      <c r="E22">
        <f>D22/B14</f>
        <v>9.61646655231561</v>
      </c>
      <c r="F22">
        <f>A13/B24</f>
        <v>0.025286449399657</v>
      </c>
    </row>
    <row r="23" spans="1:5">
      <c r="A23" s="1" t="s">
        <v>13</v>
      </c>
      <c r="B23">
        <f>2*A20*B20</f>
        <v>1183.2</v>
      </c>
      <c r="D23">
        <f>F22*A20*B20</f>
        <v>14.9594634648371</v>
      </c>
      <c r="E23">
        <f>D23/B14</f>
        <v>6.36706689536878</v>
      </c>
    </row>
    <row r="24" spans="1:2">
      <c r="A24" s="1" t="s">
        <v>14</v>
      </c>
      <c r="B24">
        <f>B22+B23</f>
        <v>4757.28</v>
      </c>
    </row>
  </sheetData>
  <mergeCells count="1">
    <mergeCell ref="A1:G1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I21" sqref="I21"/>
    </sheetView>
  </sheetViews>
  <sheetFormatPr defaultColWidth="9" defaultRowHeight="13.5"/>
  <cols>
    <col min="1" max="1" width="21.5" customWidth="1"/>
    <col min="2" max="2" width="9.88333333333333"/>
    <col min="4" max="4" width="12.6333333333333" customWidth="1"/>
    <col min="7" max="7" width="16.6333333333333" customWidth="1"/>
    <col min="8" max="8" width="9.38333333333333" customWidth="1"/>
    <col min="11" max="11" width="9.375"/>
    <col min="13" max="13" width="11.5"/>
  </cols>
  <sheetData>
    <row r="1" ht="38" customHeight="1" spans="1:8">
      <c r="A1" s="12" t="s">
        <v>20</v>
      </c>
      <c r="B1" s="13"/>
      <c r="C1" s="13"/>
      <c r="D1" s="13"/>
      <c r="E1" s="13"/>
      <c r="F1" s="13"/>
      <c r="G1" s="13"/>
      <c r="H1" s="13"/>
    </row>
    <row r="2" ht="13" customHeight="1" spans="1:8">
      <c r="A2" s="13"/>
      <c r="B2" s="13"/>
      <c r="C2" s="13"/>
      <c r="D2" s="13"/>
      <c r="E2" s="13"/>
      <c r="F2" s="13"/>
      <c r="G2" s="13"/>
      <c r="H2" s="13"/>
    </row>
    <row r="3" ht="20.25" spans="1:8">
      <c r="A3" s="14" t="s">
        <v>1</v>
      </c>
      <c r="B3" s="14"/>
      <c r="C3" s="14"/>
      <c r="D3" s="14"/>
      <c r="E3" s="14"/>
      <c r="F3" s="14"/>
      <c r="G3" s="14"/>
      <c r="H3" s="14"/>
    </row>
    <row r="4" ht="40.5" spans="1:10">
      <c r="A4" s="15" t="s">
        <v>21</v>
      </c>
      <c r="B4" s="16">
        <v>69.06</v>
      </c>
      <c r="C4" s="14"/>
      <c r="D4" s="15" t="s">
        <v>22</v>
      </c>
      <c r="E4" s="16">
        <f>B4*1000</f>
        <v>69060</v>
      </c>
      <c r="F4" s="14"/>
      <c r="G4" s="15" t="s">
        <v>23</v>
      </c>
      <c r="H4" s="16">
        <v>0.88</v>
      </c>
      <c r="J4" s="13" t="s">
        <v>24</v>
      </c>
    </row>
    <row r="5" ht="40.5" spans="1:10">
      <c r="A5" s="15" t="s">
        <v>25</v>
      </c>
      <c r="B5" s="16">
        <v>15</v>
      </c>
      <c r="C5" s="14"/>
      <c r="D5" s="15" t="s">
        <v>26</v>
      </c>
      <c r="E5" s="16">
        <f>B5*60</f>
        <v>900</v>
      </c>
      <c r="F5" s="14"/>
      <c r="G5" s="14"/>
      <c r="H5" s="14"/>
      <c r="J5" s="13" t="s">
        <v>27</v>
      </c>
    </row>
    <row r="6" ht="40.5" spans="1:10">
      <c r="A6" s="15" t="s">
        <v>28</v>
      </c>
      <c r="B6" s="16">
        <v>90</v>
      </c>
      <c r="C6" s="14"/>
      <c r="D6" s="14"/>
      <c r="E6" s="14"/>
      <c r="F6" s="14"/>
      <c r="G6" s="14"/>
      <c r="H6" s="14"/>
      <c r="J6" s="21"/>
    </row>
    <row r="7" ht="20.25" spans="1:13">
      <c r="A7" s="16" t="s">
        <v>8</v>
      </c>
      <c r="B7" s="16">
        <v>1.4</v>
      </c>
      <c r="C7" s="14"/>
      <c r="D7" s="14"/>
      <c r="E7" s="14"/>
      <c r="F7" s="14"/>
      <c r="G7" s="14"/>
      <c r="H7" s="14"/>
      <c r="J7" s="22" t="s">
        <v>29</v>
      </c>
      <c r="M7" s="17" t="s">
        <v>30</v>
      </c>
    </row>
    <row r="8" ht="20.25" spans="1:8">
      <c r="A8" s="13"/>
      <c r="B8" s="13"/>
      <c r="C8" s="13"/>
      <c r="D8" s="13"/>
      <c r="E8" s="13"/>
      <c r="F8" s="13"/>
      <c r="G8" s="13"/>
      <c r="H8" s="13"/>
    </row>
    <row r="9" ht="20.25" spans="1:8">
      <c r="A9" s="17" t="s">
        <v>31</v>
      </c>
      <c r="B9" s="18" t="s">
        <v>10</v>
      </c>
      <c r="C9" s="18"/>
      <c r="D9" s="13"/>
      <c r="E9" s="13"/>
      <c r="F9" s="13"/>
      <c r="G9" s="13"/>
      <c r="H9" s="13"/>
    </row>
    <row r="10" spans="1:1">
      <c r="A10" s="3"/>
    </row>
    <row r="11" ht="20.25" spans="1:1">
      <c r="A11" s="19" t="s">
        <v>11</v>
      </c>
    </row>
    <row r="12" ht="20.25" spans="1:13">
      <c r="A12" s="19">
        <f>H4*E4*B6*B7/E5</f>
        <v>8508.192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K12" t="s">
        <v>37</v>
      </c>
      <c r="L12" t="s">
        <v>8</v>
      </c>
      <c r="M12" s="23" t="s">
        <v>2</v>
      </c>
    </row>
    <row r="13" spans="6:13">
      <c r="F13">
        <v>184</v>
      </c>
      <c r="G13">
        <v>71.5</v>
      </c>
      <c r="H13">
        <v>49</v>
      </c>
      <c r="I13">
        <v>2.75</v>
      </c>
      <c r="J13">
        <f>F13*G13*H13*I13</f>
        <v>1772771</v>
      </c>
      <c r="K13">
        <f>J13/1000</f>
        <v>1772.771</v>
      </c>
      <c r="L13">
        <v>1.4</v>
      </c>
      <c r="M13">
        <f>0.88*J13*L15*1.4/420</f>
        <v>780019.24</v>
      </c>
    </row>
    <row r="14" spans="12:12">
      <c r="L14" t="s">
        <v>38</v>
      </c>
    </row>
    <row r="15" spans="12:12">
      <c r="L15">
        <v>150</v>
      </c>
    </row>
    <row r="16" spans="2:8">
      <c r="B16" t="s">
        <v>2</v>
      </c>
      <c r="D16" t="s">
        <v>39</v>
      </c>
      <c r="E16" t="s">
        <v>40</v>
      </c>
      <c r="F16" t="s">
        <v>38</v>
      </c>
      <c r="G16" t="s">
        <v>8</v>
      </c>
      <c r="H16" t="s">
        <v>41</v>
      </c>
    </row>
    <row r="17" spans="1:8">
      <c r="A17" s="20" t="s">
        <v>42</v>
      </c>
      <c r="B17" t="s">
        <v>43</v>
      </c>
      <c r="D17" t="s">
        <v>44</v>
      </c>
      <c r="E17" t="s">
        <v>45</v>
      </c>
      <c r="F17" t="s">
        <v>46</v>
      </c>
      <c r="H17" t="s">
        <v>47</v>
      </c>
    </row>
    <row r="18" spans="2:2">
      <c r="B18" t="s">
        <v>10</v>
      </c>
    </row>
    <row r="19" spans="4:8">
      <c r="D19">
        <v>0.88</v>
      </c>
      <c r="E19">
        <v>69060</v>
      </c>
      <c r="F19">
        <v>90</v>
      </c>
      <c r="G19">
        <v>1.4</v>
      </c>
      <c r="H19">
        <v>900</v>
      </c>
    </row>
    <row r="20" spans="2:2">
      <c r="B20">
        <f>D19*E19*F19*G19/H19</f>
        <v>8508.192</v>
      </c>
    </row>
  </sheetData>
  <mergeCells count="1">
    <mergeCell ref="B9:C9"/>
  </mergeCells>
  <pageMargins left="0.7" right="0.7" top="0.75" bottom="0.75" header="0.3" footer="0.3"/>
  <pageSetup paperSize="9" orientation="portrait" horizontalDpi="200" verticalDpi="300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J21" sqref="J21"/>
    </sheetView>
  </sheetViews>
  <sheetFormatPr defaultColWidth="9" defaultRowHeight="13.5"/>
  <cols>
    <col min="3" max="3" width="10.25" customWidth="1"/>
    <col min="5" max="5" width="12.6333333333333"/>
    <col min="7" max="7" width="12.6333333333333"/>
    <col min="9" max="9" width="12.6333333333333"/>
    <col min="10" max="10" width="10.3833333333333"/>
    <col min="12" max="12" width="10.3833333333333"/>
  </cols>
  <sheetData>
    <row r="1" ht="27" spans="1:12">
      <c r="A1" s="2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1" customHeight="1" spans="2:11">
      <c r="B2" s="2"/>
      <c r="C2" s="2"/>
      <c r="D2" s="2"/>
      <c r="E2" s="2"/>
      <c r="F2" s="2"/>
      <c r="G2" s="2"/>
      <c r="H2" s="2"/>
      <c r="I2" s="2"/>
      <c r="J2" s="2"/>
      <c r="K2" s="2"/>
    </row>
    <row r="3" ht="33" customHeight="1" spans="1:11">
      <c r="A3" t="s">
        <v>49</v>
      </c>
      <c r="B3" s="3" t="s">
        <v>50</v>
      </c>
      <c r="C3" s="4" t="s">
        <v>51</v>
      </c>
      <c r="D3" s="3"/>
      <c r="E3" s="3"/>
      <c r="F3" s="3"/>
      <c r="G3" s="3" t="s">
        <v>52</v>
      </c>
      <c r="H3" s="3"/>
      <c r="I3" s="3"/>
      <c r="J3" s="3"/>
      <c r="K3" s="3"/>
    </row>
    <row r="4" ht="21" customHeight="1" spans="1:11">
      <c r="A4" s="5">
        <v>380</v>
      </c>
      <c r="B4" s="6">
        <v>7000</v>
      </c>
      <c r="C4" s="3">
        <f>B4/B9</f>
        <v>0.60858319658324</v>
      </c>
      <c r="D4" s="3"/>
      <c r="E4" s="3"/>
      <c r="F4" s="3"/>
      <c r="G4" s="3"/>
      <c r="H4" s="3"/>
      <c r="I4" s="3"/>
      <c r="J4" s="3"/>
      <c r="K4" s="3"/>
    </row>
    <row r="5" ht="21" customHeight="1" spans="2:11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>
      <c r="B6" s="3" t="s">
        <v>53</v>
      </c>
      <c r="C6" s="3" t="s">
        <v>54</v>
      </c>
      <c r="E6" s="3" t="s">
        <v>55</v>
      </c>
      <c r="F6" s="3" t="s">
        <v>56</v>
      </c>
      <c r="G6" s="3" t="s">
        <v>57</v>
      </c>
      <c r="H6" s="3" t="s">
        <v>56</v>
      </c>
      <c r="I6" s="3" t="s">
        <v>58</v>
      </c>
      <c r="K6" s="3" t="s">
        <v>59</v>
      </c>
    </row>
    <row r="7" spans="5:11">
      <c r="E7" s="3" t="s">
        <v>54</v>
      </c>
      <c r="F7" s="3"/>
      <c r="G7" s="3" t="s">
        <v>54</v>
      </c>
      <c r="H7" s="3"/>
      <c r="I7" s="3" t="s">
        <v>54</v>
      </c>
      <c r="K7" s="3" t="s">
        <v>60</v>
      </c>
    </row>
    <row r="8" spans="2:11">
      <c r="B8" s="6">
        <v>1377.5</v>
      </c>
      <c r="C8" s="6">
        <v>835</v>
      </c>
      <c r="D8" s="3"/>
      <c r="E8" s="6">
        <v>270</v>
      </c>
      <c r="F8" s="3">
        <v>1</v>
      </c>
      <c r="G8" s="6">
        <v>293</v>
      </c>
      <c r="H8" s="3">
        <v>1</v>
      </c>
      <c r="I8" s="6">
        <v>270</v>
      </c>
      <c r="K8" s="3">
        <f>E8+F8+G8+H8+I8</f>
        <v>835</v>
      </c>
    </row>
    <row r="9" spans="1:12">
      <c r="A9" t="s">
        <v>61</v>
      </c>
      <c r="B9" s="3">
        <f>(B8/10)*(C8/10)</f>
        <v>11502.125</v>
      </c>
      <c r="C9" s="3"/>
      <c r="E9">
        <f>((E8+0.5)/10)*(B8/10)</f>
        <v>3726.1375</v>
      </c>
      <c r="G9">
        <f>((G8+1)/10)*(B8/10)</f>
        <v>4049.85</v>
      </c>
      <c r="I9">
        <f>((I8+0.5)/10)*(B8/10)</f>
        <v>3726.1375</v>
      </c>
      <c r="K9" t="s">
        <v>62</v>
      </c>
      <c r="L9">
        <f>I9+G9+E9</f>
        <v>11502.125</v>
      </c>
    </row>
    <row r="10" spans="1:12">
      <c r="A10" t="s">
        <v>2</v>
      </c>
      <c r="E10">
        <f>C4*E9</f>
        <v>2267.66467065868</v>
      </c>
      <c r="G10">
        <f>C4*G9</f>
        <v>2464.67065868263</v>
      </c>
      <c r="I10">
        <f>C4*I9</f>
        <v>2267.66467065868</v>
      </c>
      <c r="K10" t="s">
        <v>63</v>
      </c>
      <c r="L10">
        <f>I10+G10+E10</f>
        <v>7000</v>
      </c>
    </row>
    <row r="11" ht="37" customHeight="1" spans="1:6">
      <c r="A11" s="7" t="s">
        <v>64</v>
      </c>
      <c r="B11" s="4"/>
      <c r="C11" s="4"/>
      <c r="D11" s="3"/>
      <c r="E11" s="3"/>
      <c r="F11" s="3"/>
    </row>
    <row r="12" ht="37" customHeight="1" spans="1:6">
      <c r="A12" s="4"/>
      <c r="B12" s="4"/>
      <c r="C12" s="4"/>
      <c r="D12" s="3"/>
      <c r="E12" s="3"/>
      <c r="F12" s="3"/>
    </row>
    <row r="13" spans="1:5">
      <c r="A13" s="8" t="s">
        <v>65</v>
      </c>
      <c r="B13" s="8"/>
      <c r="C13" s="9"/>
      <c r="D13" s="3" t="s">
        <v>66</v>
      </c>
      <c r="E13" s="3"/>
    </row>
    <row r="14" spans="1:5">
      <c r="A14" s="6">
        <f>2466-120</f>
        <v>2346</v>
      </c>
      <c r="B14" s="6"/>
      <c r="C14" s="10"/>
      <c r="D14" s="3">
        <f>(7000-A14)/2</f>
        <v>2327</v>
      </c>
      <c r="E14" s="3"/>
    </row>
    <row r="15" s="1" customFormat="1" spans="1:3">
      <c r="A15" s="11"/>
      <c r="B15" s="11"/>
      <c r="C15" s="11"/>
    </row>
    <row r="16" spans="1:3">
      <c r="A16" s="8"/>
      <c r="B16" s="8"/>
      <c r="C16" s="8"/>
    </row>
    <row r="18" spans="1:3">
      <c r="A18" s="3"/>
      <c r="B18" s="3"/>
      <c r="C18" s="3"/>
    </row>
    <row r="19" spans="1:3">
      <c r="A19" s="3"/>
      <c r="B19" s="3"/>
      <c r="C19" s="3"/>
    </row>
  </sheetData>
  <mergeCells count="14">
    <mergeCell ref="A1:L1"/>
    <mergeCell ref="B9:C9"/>
    <mergeCell ref="A11:C11"/>
    <mergeCell ref="D11:F11"/>
    <mergeCell ref="A13:B13"/>
    <mergeCell ref="D13:E13"/>
    <mergeCell ref="A14:B14"/>
    <mergeCell ref="D14:E14"/>
    <mergeCell ref="A15:C15"/>
    <mergeCell ref="A16:C16"/>
    <mergeCell ref="A18:C18"/>
    <mergeCell ref="A19:C19"/>
    <mergeCell ref="B6:B7"/>
    <mergeCell ref="C6:C7"/>
  </mergeCells>
  <pageMargins left="0.7" right="0.7" top="0.75" bottom="0.75" header="0.3" footer="0.3"/>
  <pageSetup paperSize="9" orientation="portrait" horizontalDpi="2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加热膜功率</vt:lpstr>
      <vt:lpstr>全路程---6450#加热膜功率</vt:lpstr>
      <vt:lpstr>全路程---72150#加热膜功率</vt:lpstr>
      <vt:lpstr>乐圆---加热膜功率</vt:lpstr>
      <vt:lpstr>超威---加热膜功率</vt:lpstr>
      <vt:lpstr>发热板功率</vt:lpstr>
      <vt:lpstr>3块发热板-各块功率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WPS_1682335983</cp:lastModifiedBy>
  <dcterms:created xsi:type="dcterms:W3CDTF">2006-09-13T11:21:00Z</dcterms:created>
  <dcterms:modified xsi:type="dcterms:W3CDTF">2025-08-15T12:08:37Z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  <property fmtid="{D5CDD505-2E9C-101B-9397-08002B2CF9AE}" pid="3" name="ICV">
    <vt:lpwstr>94FA1FD9B9E545B3B31289DEB5CBABD1_12</vt:lpwstr>
  </property>
</Properties>
</file>